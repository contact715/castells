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Евгений Ж." sheetId="1" r:id="rId5"/>
    <sheet state="visible" name="Менеджер 2" sheetId="2" r:id="rId6"/>
    <sheet state="hidden" name="Александр" sheetId="3" r:id="rId7"/>
    <sheet state="visible" name="График" sheetId="4" r:id="rId8"/>
    <sheet state="visible" name="Сводная таблица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tc={e72fc6d5-6ed3-4d80-99d3-9e11733c690b}</author>
  </authors>
  <commentList>
    <comment authorId="0" ref="CR2">
      <text>
        <t xml:space="preserve">Полная премия за выполнение 100%
</t>
      </text>
    </comment>
    <comment authorId="0" ref="CR20">
      <text>
        <t xml:space="preserve">Полная премия за выполнение 100%
</t>
      </text>
    </comment>
    <comment authorId="0" ref="R30">
      <text>
        <t xml:space="preserve">Ростов на Дону | Кухни 61</t>
      </text>
    </comment>
    <comment authorId="0" ref="U30">
      <text>
        <t xml:space="preserve">Саратов | Перфектум</t>
      </text>
    </comment>
    <comment authorId="0" ref="ET38">
      <text>
        <t xml:space="preserve">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	
																	</t>
      </text>
    </comment>
    <comment authorId="0" ref="CR39">
      <text>
        <t xml:space="preserve">Полная премия за выполнение 100%
</t>
      </text>
    </comment>
    <comment authorId="0" ref="DH39">
      <text>
        <t xml:space="preserve">Фактические показатели за месяц</t>
      </text>
    </comment>
    <comment authorId="0" ref="DK39">
      <text>
        <t xml:space="preserve">Месячный план
</t>
      </text>
    </comment>
    <comment authorId="0" ref="DN39">
      <text>
        <t xml:space="preserve">Бонус за фактическое выполнение</t>
      </text>
    </comment>
    <comment authorId="0" ref="DQ39">
      <text>
        <t xml:space="preserve">Выполнение до 100%</t>
      </text>
    </comment>
    <comment authorId="0" ref="DT39">
      <text>
        <t xml:space="preserve">Выполнение в процентах</t>
      </text>
    </comment>
    <comment authorId="0" ref="DW39">
      <text>
        <t xml:space="preserve">Дневной план</t>
      </text>
    </comment>
    <comment authorId="0" ref="EO39">
      <text>
        <t xml:space="preserve">Фактическая эффективность за месяц.</t>
      </text>
    </comment>
    <comment authorId="0" ref="EQ39">
      <text>
        <t xml:space="preserve">Средняя эффективность за весь период</t>
      </text>
    </comment>
    <comment authorId="0" ref="ET42">
      <text>
        <t xml:space="preserve">Если выполнение KPI больше 80%, то % с продаж 15%
Если выполнение KPI меньше 80%, то % с продаж 5%</t>
      </text>
    </comment>
    <comment authorId="0" ref="FJ42">
      <text>
        <t xml:space="preserve">Если выполнение KPI больше 80%, то % с продаж 15%
Если выполнение KPI меньше 80%, то % с продаж 5%</t>
      </text>
    </comment>
    <comment authorId="0" ref="DN43">
      <text>
        <t xml:space="preserve">10 000 р. </t>
      </text>
    </comment>
    <comment authorId="0" ref="DN44">
      <text>
        <t xml:space="preserve">2 500 р.
</t>
      </text>
    </comment>
    <comment authorId="0" ref="X46">
      <text>
        <t xml:space="preserve">Москва | МСНмебель</t>
      </text>
    </comment>
    <comment authorId="0" ref="AA46">
      <text>
        <t xml:space="preserve">Ростов
ТумакМеб</t>
      </text>
    </comment>
    <comment authorId="0" ref="DN46">
      <text>
        <t xml:space="preserve">2 500 р.</t>
      </text>
    </comment>
    <comment authorId="0" ref="CU52">
      <text>
        <t xml:space="preserve">Если выполнение KPI больше 80%, то % с продаж 15%
Если выполнение KPI меньше 80%, то % с продаж 5%</t>
      </text>
    </comment>
    <comment authorId="0" ref="DH52">
      <text>
        <t xml:space="preserve">Если выполнение KPI больше 80%, то % с продаж 15%
Если выполнение KPI меньше 80%, то % с продаж 5%</t>
      </text>
    </comment>
    <comment authorId="0" ref="ET56">
      <text>
        <t xml:space="preserve">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	
																	</t>
      </text>
    </comment>
    <comment authorId="0" ref="CR57">
      <text>
        <t xml:space="preserve">Полная премия за выполнение 100%
</t>
      </text>
    </comment>
    <comment authorId="0" ref="DH57">
      <text>
        <t xml:space="preserve">Фактические показатели за месяц</t>
      </text>
    </comment>
    <comment authorId="0" ref="DK57">
      <text>
        <t xml:space="preserve">Месячный план
</t>
      </text>
    </comment>
    <comment authorId="0" ref="DN57">
      <text>
        <t xml:space="preserve">Бонус за фактическое выполнение</t>
      </text>
    </comment>
    <comment authorId="0" ref="DQ57">
      <text>
        <t xml:space="preserve">Выполнение до 100%</t>
      </text>
    </comment>
    <comment authorId="0" ref="DT57">
      <text>
        <t xml:space="preserve">Выполнение в процентах</t>
      </text>
    </comment>
    <comment authorId="0" ref="DW57">
      <text>
        <t xml:space="preserve">Дневной план</t>
      </text>
    </comment>
    <comment authorId="0" ref="EO57">
      <text>
        <t xml:space="preserve">Фактическая эффективность за месяц.</t>
      </text>
    </comment>
    <comment authorId="0" ref="EQ57">
      <text>
        <t xml:space="preserve">Средняя эффективность за весь период</t>
      </text>
    </comment>
    <comment authorId="0" ref="ET60">
      <text>
        <t xml:space="preserve">Если выполнение KPI больше 80%, то % с продаж 15%
Если выполнение KPI меньше 80%, то % с продаж 5%</t>
      </text>
    </comment>
    <comment authorId="0" ref="FJ60">
      <text>
        <t xml:space="preserve">Если выполнение KPI больше 80%, то % с продаж 15%
Если выполнение KPI меньше 80%, то % с продаж 5%</t>
      </text>
    </comment>
    <comment authorId="0" ref="DN61">
      <text>
        <t xml:space="preserve">10 000 р. </t>
      </text>
    </comment>
    <comment authorId="0" ref="DN62">
      <text>
        <t xml:space="preserve">2 500 р.
</t>
      </text>
    </comment>
    <comment authorId="0" ref="U64">
      <text>
        <t xml:space="preserve">Москва Виват
</t>
      </text>
    </comment>
    <comment authorId="0" ref="AA64">
      <text>
        <t xml:space="preserve">Кемерово Аксель
</t>
      </text>
    </comment>
    <comment authorId="0" ref="AK64">
      <text>
        <t xml:space="preserve">Ростов Кухни с Умом
</t>
      </text>
    </comment>
    <comment authorId="0" ref="DN64">
      <text>
        <t xml:space="preserve">2 500 р.</t>
      </text>
    </comment>
    <comment authorId="0" ref="AO65">
      <text>
        <t xml:space="preserve">Новомосковск Другая Мебель</t>
      </text>
    </comment>
    <comment authorId="0" ref="CU70">
      <text>
        <t xml:space="preserve">Если выполнение KPI больше 80%, то % с продаж 15%
Если выполнение KPI меньше 80%, то % с продаж 5%</t>
      </text>
    </comment>
    <comment authorId="0" ref="DH70">
      <text>
        <t xml:space="preserve">Если выполнение KPI больше 80%, то % с продаж 15%
Если выполнение KPI меньше 80%, то % с продаж 5%</t>
      </text>
    </comment>
    <comment authorId="0" ref="ET74">
      <text>
        <t xml:space="preserve">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	
																	</t>
      </text>
    </comment>
    <comment authorId="0" ref="CR75">
      <text>
        <t xml:space="preserve">Полная премия за выполнение 100%
</t>
      </text>
    </comment>
    <comment authorId="0" ref="DH75">
      <text>
        <t xml:space="preserve">Фактические показатели за месяц</t>
      </text>
    </comment>
    <comment authorId="0" ref="DK75">
      <text>
        <t xml:space="preserve">Месячный план
</t>
      </text>
    </comment>
    <comment authorId="0" ref="DN75">
      <text>
        <t xml:space="preserve">Бонус за фактическое выполнение</t>
      </text>
    </comment>
    <comment authorId="0" ref="DQ75">
      <text>
        <t xml:space="preserve">Выполнение до 100%</t>
      </text>
    </comment>
    <comment authorId="0" ref="DT75">
      <text>
        <t xml:space="preserve">Выполнение в процентах</t>
      </text>
    </comment>
    <comment authorId="0" ref="DW75">
      <text>
        <t xml:space="preserve">Дневной план</t>
      </text>
    </comment>
    <comment authorId="0" ref="EO75">
      <text>
        <t xml:space="preserve">Фактическая эффективность за месяц.</t>
      </text>
    </comment>
    <comment authorId="0" ref="EQ75">
      <text>
        <t xml:space="preserve">Средняя эффективность за весь период</t>
      </text>
    </comment>
    <comment authorId="0" ref="ET78">
      <text>
        <t xml:space="preserve">Если выполнение KPI больше 80%, то % с продаж 15%
Если выполнение KPI меньше 80%, то % с продаж 5%</t>
      </text>
    </comment>
    <comment authorId="0" ref="FJ78">
      <text>
        <t xml:space="preserve">Если выполнение KPI больше 80%, то % с продаж 15%
Если выполнение KPI меньше 80%, то % с продаж 5%</t>
      </text>
    </comment>
    <comment authorId="0" ref="DN79">
      <text>
        <t xml:space="preserve">10 000 р. </t>
      </text>
    </comment>
    <comment authorId="0" ref="DN80">
      <text>
        <t xml:space="preserve">2 500 р.
</t>
      </text>
    </comment>
    <comment authorId="0" ref="DN82">
      <text>
        <t xml:space="preserve">2 500 р.</t>
      </text>
    </comment>
    <comment authorId="0" ref="CU88">
      <text>
        <t xml:space="preserve">Если выполнение KPI больше 80%, то % с продаж 15%
Если выполнение KPI меньше 80%, то % с продаж 5%</t>
      </text>
    </comment>
    <comment authorId="0" ref="DH88">
      <text>
        <t xml:space="preserve">Если выполнение KPI больше 80%, то % с продаж 15%
Если выполнение KPI меньше 80%, то % с продаж 5%</t>
      </text>
    </comment>
    <comment authorId="0" ref="ET92">
      <text>
        <t xml:space="preserve">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	
																	</t>
      </text>
    </comment>
    <comment authorId="0" ref="CR93">
      <text>
        <t xml:space="preserve">Полная премия за выполнение 100%
</t>
      </text>
    </comment>
    <comment authorId="0" ref="DH93">
      <text>
        <t xml:space="preserve">Фактические показатели за месяц</t>
      </text>
    </comment>
    <comment authorId="0" ref="DK93">
      <text>
        <t xml:space="preserve">Месячный план
</t>
      </text>
    </comment>
    <comment authorId="0" ref="DN93">
      <text>
        <t xml:space="preserve">Бонус за фактическое выполнение</t>
      </text>
    </comment>
    <comment authorId="0" ref="DQ93">
      <text>
        <t xml:space="preserve">Выполнение до 100%</t>
      </text>
    </comment>
    <comment authorId="0" ref="DT93">
      <text>
        <t xml:space="preserve">Выполнение в процентах</t>
      </text>
    </comment>
    <comment authorId="0" ref="DW93">
      <text>
        <t xml:space="preserve">Дневной план</t>
      </text>
    </comment>
    <comment authorId="0" ref="EO93">
      <text>
        <t xml:space="preserve">Фактическая эффективность за месяц.</t>
      </text>
    </comment>
    <comment authorId="0" ref="EQ93">
      <text>
        <t xml:space="preserve">Средняя эффективность за весь период</t>
      </text>
    </comment>
    <comment authorId="0" ref="ET96">
      <text>
        <t xml:space="preserve">Если выполнение KPI больше 80%, то % с продаж 15%
Если выполнение KPI меньше 80%, то % с продаж 5%</t>
      </text>
    </comment>
    <comment authorId="0" ref="FJ96">
      <text>
        <t xml:space="preserve">Если выполнение KPI больше 80%, то % с продаж 15%
Если выполнение KPI меньше 80%, то % с продаж 5%</t>
      </text>
    </comment>
    <comment authorId="0" ref="DN97">
      <text>
        <t xml:space="preserve">10 000 р. </t>
      </text>
    </comment>
    <comment authorId="0" ref="DN98">
      <text>
        <t xml:space="preserve">2 500 р.
</t>
      </text>
    </comment>
    <comment authorId="0" ref="DN100">
      <text>
        <t xml:space="preserve">2 500 р.</t>
      </text>
    </comment>
    <comment authorId="0" ref="Q103">
      <text>
        <t xml:space="preserve">Уфа | МысльФорма</t>
      </text>
    </comment>
    <comment authorId="0" ref="CU106">
      <text>
        <t xml:space="preserve">Если выполнение KPI больше 80%, то % с продаж 15%
Если выполнение KPI меньше 80%, то % с продаж 5%</t>
      </text>
    </comment>
    <comment authorId="0" ref="DH106">
      <text>
        <t xml:space="preserve">Если выполнение KPI больше 80%, то % с продаж 15%
Если выполнение KPI меньше 80%, то % с продаж 5%</t>
      </text>
    </comment>
    <comment authorId="1" xr:uid="{e72fc6d5-6ed3-4d80-99d3-9e11733c690b}" ref="ET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@irish4kanistra@gmail.com 
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T3">
      <text>
        <t xml:space="preserve">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	
																	</t>
      </text>
    </comment>
    <comment authorId="0" ref="CR4">
      <text>
        <t xml:space="preserve">Полная премия за выполнение 100%
</t>
      </text>
    </comment>
    <comment authorId="0" ref="DH4">
      <text>
        <t xml:space="preserve">Фактические показатели за месяц</t>
      </text>
    </comment>
    <comment authorId="0" ref="DK4">
      <text>
        <t xml:space="preserve">Месячный план
</t>
      </text>
    </comment>
    <comment authorId="0" ref="DN4">
      <text>
        <t xml:space="preserve">Бонус за фактическое выполнение</t>
      </text>
    </comment>
    <comment authorId="0" ref="DQ4">
      <text>
        <t xml:space="preserve">Выполнение до 100%</t>
      </text>
    </comment>
    <comment authorId="0" ref="DT4">
      <text>
        <t xml:space="preserve">Выполнение в процентах</t>
      </text>
    </comment>
    <comment authorId="0" ref="DW4">
      <text>
        <t xml:space="preserve">Дневной план</t>
      </text>
    </comment>
    <comment authorId="0" ref="EO4">
      <text>
        <t xml:space="preserve">Фактическая эффективность за месяц.</t>
      </text>
    </comment>
    <comment authorId="0" ref="EQ4">
      <text>
        <t xml:space="preserve">Средняя эффективность за весь период</t>
      </text>
    </comment>
    <comment authorId="0" ref="ET7">
      <text>
        <t xml:space="preserve">Если выполнение KPI больше 80%, то % с продаж 15%
Если выполнение KPI меньше 80%, то % с продаж 5%</t>
      </text>
    </comment>
    <comment authorId="0" ref="FJ7">
      <text>
        <t xml:space="preserve">Если выполнение KPI больше 80%, то % с продаж 15%
Если выполнение KPI меньше 80%, то % с продаж 5%</t>
      </text>
    </comment>
    <comment authorId="0" ref="CU17">
      <text>
        <t xml:space="preserve">Если выполнение KPI больше 80%, то % с продаж 15%
Если выполнение KPI меньше 80%, то % с продаж 5%</t>
      </text>
    </comment>
    <comment authorId="0" ref="ET21">
      <text>
        <t xml:space="preserve">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	
																	</t>
      </text>
    </comment>
    <comment authorId="0" ref="CR22">
      <text>
        <t xml:space="preserve">Полная премия за выполнение 100%
</t>
      </text>
    </comment>
    <comment authorId="0" ref="DH22">
      <text>
        <t xml:space="preserve">Фактические показатели за месяц</t>
      </text>
    </comment>
    <comment authorId="0" ref="DK22">
      <text>
        <t xml:space="preserve">Месячный план
</t>
      </text>
    </comment>
    <comment authorId="0" ref="DN22">
      <text>
        <t xml:space="preserve">Бонус за фактическое выполнение</t>
      </text>
    </comment>
    <comment authorId="0" ref="DQ22">
      <text>
        <t xml:space="preserve">Выполнение до 100%</t>
      </text>
    </comment>
    <comment authorId="0" ref="DT22">
      <text>
        <t xml:space="preserve">Выполнение в процентах</t>
      </text>
    </comment>
    <comment authorId="0" ref="DW22">
      <text>
        <t xml:space="preserve">Дневной план</t>
      </text>
    </comment>
    <comment authorId="0" ref="EO22">
      <text>
        <t xml:space="preserve">Фактическая эффективность за месяц.</t>
      </text>
    </comment>
    <comment authorId="0" ref="EQ22">
      <text>
        <t xml:space="preserve">Средняя эффективность за весь период</t>
      </text>
    </comment>
    <comment authorId="0" ref="ET25">
      <text>
        <t xml:space="preserve">Если выполнение KPI больше 80%, то % с продаж 15%
Если выполнение KPI меньше 80%, то % с продаж 5%</t>
      </text>
    </comment>
    <comment authorId="0" ref="FJ25">
      <text>
        <t xml:space="preserve">Если выполнение KPI больше 80%, то % с продаж 15%
Если выполнение KPI меньше 80%, то % с продаж 5%</t>
      </text>
    </comment>
    <comment authorId="0" ref="CU35">
      <text>
        <t xml:space="preserve">Если выполнение KPI больше 80%, то % с продаж 15%
Если выполнение KPI меньше 80%, то % с продаж 5%</t>
      </text>
    </comment>
  </commentList>
</comments>
</file>

<file path=xl/sharedStrings.xml><?xml version="1.0" encoding="utf-8"?>
<sst xmlns="http://schemas.openxmlformats.org/spreadsheetml/2006/main" count="1462" uniqueCount="198">
  <si>
    <t>Продажи</t>
  </si>
  <si>
    <t>Сопровождение клиентов</t>
  </si>
  <si>
    <t>Рассчеты</t>
  </si>
  <si>
    <t>Эффективность</t>
  </si>
  <si>
    <t>Заработная плата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</si>
  <si>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</si>
  <si>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Ноябрь 2022</t>
  </si>
  <si>
    <t>Показатели</t>
  </si>
  <si>
    <t>Дата</t>
  </si>
  <si>
    <t>Название 
проекта</t>
  </si>
  <si>
    <t>Премия</t>
  </si>
  <si>
    <t>Ключевые показатели</t>
  </si>
  <si>
    <t>Факт</t>
  </si>
  <si>
    <t>План</t>
  </si>
  <si>
    <t>Бонус</t>
  </si>
  <si>
    <t>Вып 100%</t>
  </si>
  <si>
    <t>Вып в %</t>
  </si>
  <si>
    <t>Днев ПЛ</t>
  </si>
  <si>
    <t>Ключевые конверсии</t>
  </si>
  <si>
    <t>Сред</t>
  </si>
  <si>
    <t>Мотивация менеджера</t>
  </si>
  <si>
    <t>Сумма</t>
  </si>
  <si>
    <t>Дисциплинарные нарушения</t>
  </si>
  <si>
    <t>Сумм</t>
  </si>
  <si>
    <t>Итого</t>
  </si>
  <si>
    <t xml:space="preserve">Количество новых лидов </t>
  </si>
  <si>
    <t>Из лида в одобренный тест</t>
  </si>
  <si>
    <t>Сумма штрафов</t>
  </si>
  <si>
    <t>Количество результативных звонков</t>
  </si>
  <si>
    <t>Из лида в оплаченный тест</t>
  </si>
  <si>
    <t>Бонус за выполнение KPI</t>
  </si>
  <si>
    <t>Количество</t>
  </si>
  <si>
    <t>Кол-во одобренных тестов</t>
  </si>
  <si>
    <t>Из лида в заключенный договор</t>
  </si>
  <si>
    <t>Общий % выполнения KPI</t>
  </si>
  <si>
    <t xml:space="preserve">Кол-во новых лидов </t>
  </si>
  <si>
    <t>2 месяц</t>
  </si>
  <si>
    <t>%</t>
  </si>
  <si>
    <t>Кол-во оплаченных тестов</t>
  </si>
  <si>
    <t>Из результативного звонка в одобренный тест</t>
  </si>
  <si>
    <t>Премия за платные тесты</t>
  </si>
  <si>
    <t>Ведение CRM</t>
  </si>
  <si>
    <t>Кол-во результативных звонков</t>
  </si>
  <si>
    <t>Кол-во заключенных договоров</t>
  </si>
  <si>
    <t>Из звонка в проведенный тест</t>
  </si>
  <si>
    <t>Премия за сопровождение проектов за второй месяц</t>
  </si>
  <si>
    <t xml:space="preserve">Соблюдение регламентов и скриптов  </t>
  </si>
  <si>
    <t>3 месяц</t>
  </si>
  <si>
    <t>Кол-во позиций в договоре</t>
  </si>
  <si>
    <t>Из звонка в заключенный договор</t>
  </si>
  <si>
    <t>Премия за сопровождение проектов за третий месяц</t>
  </si>
  <si>
    <t>Вовремя/неверно сданная отчетность</t>
  </si>
  <si>
    <t>Сумма продаж</t>
  </si>
  <si>
    <t>Из одобренного теста в проведенный тест</t>
  </si>
  <si>
    <t>Зарплата менеджера без учета командного плана</t>
  </si>
  <si>
    <t>Опоздание без ув. причины</t>
  </si>
  <si>
    <t>Платные тесты</t>
  </si>
  <si>
    <t>Командный план</t>
  </si>
  <si>
    <t>Из одобренного теста в заключенный договор</t>
  </si>
  <si>
    <t>Зарплата менеджера с учетом командного плана</t>
  </si>
  <si>
    <t>Неявка на работу</t>
  </si>
  <si>
    <t>Уфа
ИП Хатмуллин</t>
  </si>
  <si>
    <t>Казань
МебБюро</t>
  </si>
  <si>
    <t>РостовНД 
Кухни61</t>
  </si>
  <si>
    <t>СПБ
Штонда</t>
  </si>
  <si>
    <t>Саратов
Perfektum</t>
  </si>
  <si>
    <t>Волгоград 
Коновалов</t>
  </si>
  <si>
    <t xml:space="preserve">Краснодар
ТаймМебель </t>
  </si>
  <si>
    <t>Тула
КитченКа2</t>
  </si>
  <si>
    <t>Название 
Проекта</t>
  </si>
  <si>
    <t>Остаток до выполнения личного плана</t>
  </si>
  <si>
    <t>Из теста в заключенный договор</t>
  </si>
  <si>
    <t>Неверно составленное ТЗ</t>
  </si>
  <si>
    <t>Средний чек</t>
  </si>
  <si>
    <t>Общее количество звонков</t>
  </si>
  <si>
    <t>Общее количество минут разговора</t>
  </si>
  <si>
    <t>Среднее количество изделий в договоре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</si>
  <si>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</si>
  <si>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Декабрь 2022</t>
  </si>
  <si>
    <t>РостовНД
Кухни61</t>
  </si>
  <si>
    <t>Казань
ИП Ильясов</t>
  </si>
  <si>
    <t>Ижевск
МоллиМеб</t>
  </si>
  <si>
    <t>Новомосковск 
ДругаяМебель</t>
  </si>
  <si>
    <t>Уфа 
М-Дизайн</t>
  </si>
  <si>
    <t>Среднее количество позиций в договоре</t>
  </si>
  <si>
    <t>Рассчеты KPI</t>
  </si>
  <si>
    <t>Заработная плата*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</si>
  <si>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</si>
  <si>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Январь 2023</t>
  </si>
  <si>
    <t>Саратов
Перфектум</t>
  </si>
  <si>
    <t>Бонус ф.</t>
  </si>
  <si>
    <t>Вып. 100%</t>
  </si>
  <si>
    <t>Днев пл.</t>
  </si>
  <si>
    <t>Факт*</t>
  </si>
  <si>
    <t>Ср*</t>
  </si>
  <si>
    <t>Сумма продаж - личная</t>
  </si>
  <si>
    <t>Из одобренного теста в проданный тест</t>
  </si>
  <si>
    <t>Премия за сумму продаж за месяц</t>
  </si>
  <si>
    <t>Сумма продаж - командный план</t>
  </si>
  <si>
    <t>Зарплата без учета командного плана</t>
  </si>
  <si>
    <t>Сумма продаж - тесты</t>
  </si>
  <si>
    <t>Ростов
ТумакМеб</t>
  </si>
  <si>
    <t>Москва
МСНмебель</t>
  </si>
  <si>
    <t>Уфа
МысльФорма</t>
  </si>
  <si>
    <t>Москва
ФантазУюта</t>
  </si>
  <si>
    <t xml:space="preserve">Сумма продаж - общая 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</si>
  <si>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</si>
  <si>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Февраль 2023</t>
  </si>
  <si>
    <t>Екатеринбург
Купе</t>
  </si>
  <si>
    <t>Москва 
Виват</t>
  </si>
  <si>
    <t>Кемерово
АксельМеб</t>
  </si>
  <si>
    <t>РостовНД
КухниСУмом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</si>
  <si>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</si>
  <si>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Март 2023</t>
  </si>
  <si>
    <t>Красноярск 
Смарт</t>
  </si>
  <si>
    <t>Самара
Купе</t>
  </si>
  <si>
    <t>Новокузнецк
Саяпин</t>
  </si>
  <si>
    <t>Москва
КитМодерн</t>
  </si>
  <si>
    <t>Кемерово
Аксель</t>
  </si>
  <si>
    <t>Екатеринбург
Эдельвейс</t>
  </si>
  <si>
    <t>СевОсетия
МебСити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</si>
  <si>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</si>
  <si>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Апрель 2023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</si>
  <si>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</si>
  <si>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</si>
  <si>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Количество новых лидов взятых в работу</t>
  </si>
  <si>
    <r>
      <rPr>
        <rFont val="Montserrat,Arial"/>
        <b/>
        <color rgb="FFFFFFFF"/>
        <sz val="8.0"/>
      </rPr>
      <t>Нарушения регламента работ</t>
    </r>
    <r>
      <rPr>
        <rFont val="Montserrat,Arial"/>
        <b/>
        <color rgb="FFFFFFFF"/>
        <sz val="8.0"/>
      </rPr>
      <t>ы</t>
    </r>
  </si>
  <si>
    <t>Январь 2022</t>
  </si>
  <si>
    <t>Находка АкадемияМебели</t>
  </si>
  <si>
    <t>Тамбов
Пилот</t>
  </si>
  <si>
    <t>Ульяновск
Шарли</t>
  </si>
  <si>
    <t>Казань
ИльнарКух</t>
  </si>
  <si>
    <t>Тюмень 
Мебельщик</t>
  </si>
  <si>
    <t>Иркутск 
Мебелевич</t>
  </si>
  <si>
    <t>Омск 
КитМебель</t>
  </si>
  <si>
    <t>Казань
Коновалов</t>
  </si>
  <si>
    <t>Казань
Давинчи</t>
  </si>
  <si>
    <t>Архангельск 
Евромебель</t>
  </si>
  <si>
    <t>Казань
Шарли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</si>
  <si>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</si>
  <si>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Февраль 2022</t>
  </si>
  <si>
    <t>Казань 
ДаВинчи</t>
  </si>
  <si>
    <t>Саранск 
Калабрия</t>
  </si>
  <si>
    <t>Махачкала
Карго58</t>
  </si>
  <si>
    <t>Омск
Лусонелла</t>
  </si>
  <si>
    <t>Омск 
Лусонелла</t>
  </si>
  <si>
    <t>Иркутск
Мебель</t>
  </si>
  <si>
    <t>Краснодар  
РВСДизайн</t>
  </si>
  <si>
    <t>Красноярс 
СибМебСерв</t>
  </si>
  <si>
    <t>СПБ
АрхитектураМеб</t>
  </si>
  <si>
    <t>Уфа
ЖивыеКухни</t>
  </si>
  <si>
    <t>Челябинск
Форест174</t>
  </si>
  <si>
    <t>Сургут
АртВип</t>
  </si>
  <si>
    <t>Самара 
МебельОтМастера</t>
  </si>
  <si>
    <t>Курган
НашаМебель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</si>
  <si>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</si>
  <si>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Март 2022</t>
  </si>
  <si>
    <t>Магнитогорск
М-Мебель</t>
  </si>
  <si>
    <r>
      <rPr>
        <rFont val="Montserrat"/>
        <b/>
        <color theme="0"/>
        <sz val="8.0"/>
      </rPr>
      <t>Нарушения регламента работ</t>
    </r>
    <r>
      <rPr>
        <rFont val="Montserrat"/>
        <b/>
        <color theme="0"/>
        <sz val="8.0"/>
      </rPr>
      <t>ы</t>
    </r>
  </si>
  <si>
    <t>Апрель 2022</t>
  </si>
  <si>
    <t>Анжелика</t>
  </si>
  <si>
    <t>Александр</t>
  </si>
  <si>
    <t>кол-во смен</t>
  </si>
  <si>
    <t>Декабрь 2021</t>
  </si>
  <si>
    <t>День недели</t>
  </si>
  <si>
    <t>вт</t>
  </si>
  <si>
    <t>ср</t>
  </si>
  <si>
    <t>чт</t>
  </si>
  <si>
    <t>пт</t>
  </si>
  <si>
    <t>сб</t>
  </si>
  <si>
    <t>вс</t>
  </si>
  <si>
    <t>пн</t>
  </si>
  <si>
    <t>Евгений Ж.</t>
  </si>
  <si>
    <t>Среднее</t>
  </si>
  <si>
    <t>Суммарное</t>
  </si>
  <si>
    <t>План 
Среднее</t>
  </si>
  <si>
    <t>План 
Суммарное</t>
  </si>
  <si>
    <t>% Выполнения 
Среднее</t>
  </si>
  <si>
    <t>% Выполнения 
Суммарное</t>
  </si>
  <si>
    <t>% Выполнения 
KPI</t>
  </si>
  <si>
    <t>Зарплата 
РОП</t>
  </si>
  <si>
    <t xml:space="preserve">Общее количество звонков </t>
  </si>
  <si>
    <t>Количество одобренных тестов</t>
  </si>
  <si>
    <t>Количество оплаченых тестов</t>
  </si>
  <si>
    <t>Количество заключенных договоров</t>
  </si>
  <si>
    <t>Количество позиций в договоре</t>
  </si>
  <si>
    <t>Средний чек договора</t>
  </si>
  <si>
    <t>Средний чек позиции</t>
  </si>
  <si>
    <t>Сумма штрафа</t>
  </si>
  <si>
    <t xml:space="preserve">Зарплата менеджера </t>
  </si>
  <si>
    <t>Итоговая зарплата менеджера с учетом ком пл</t>
  </si>
  <si>
    <t>Конверсии</t>
  </si>
  <si>
    <t>Из лида в одобренный тест</t>
  </si>
  <si>
    <t>Из лида в опллаченный тест</t>
  </si>
  <si>
    <t>Из звонка в одобренный тест</t>
  </si>
  <si>
    <t>Из звонка в оплаченный тест</t>
  </si>
  <si>
    <t>Из одобренного теста в оплаченный тест</t>
  </si>
  <si>
    <t>Из оплаченного теста в заключенный договор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</si>
</sst>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[$р.-419]#,##0"/>
    <numFmt numFmtId="166" formatCode="0.0"/>
    <numFmt numFmtId="167" formatCode="#,##0;(#,##0)"/>
    <numFmt numFmtId="168" formatCode="#,##0.0;(#,##0.0)"/>
    <numFmt numFmtId="169" formatCode="d.m"/>
    <numFmt numFmtId="170" formatCode="[$р.-419]#,##0.00"/>
  </numFmts>
  <fonts count="19">
    <font>
      <sz val="10.0"/>
      <color rgb="FF000000"/>
      <name val="Arial"/>
      <scheme val="minor"/>
    </font>
    <font>
      <sz val="24.0"/>
      <color rgb="FFFFFFFF"/>
      <name val="Montserrat"/>
    </font>
    <font>
      <b/>
      <sz val="8.0"/>
      <color rgb="FF000000"/>
      <name val="Montserrat"/>
    </font>
    <font/>
    <font>
      <color theme="1"/>
      <name val="Montserrat"/>
    </font>
    <font>
      <b/>
      <sz val="8.0"/>
      <color rgb="FFFFFFFF"/>
      <name val="Montserrat"/>
    </font>
    <font>
      <b/>
      <sz val="8.0"/>
      <color theme="0"/>
      <name val="Montserrat"/>
    </font>
    <font>
      <b/>
      <sz val="24.0"/>
      <color rgb="FFFFFFFF"/>
      <name val="Montserrat"/>
    </font>
    <font>
      <b/>
      <sz val="8.0"/>
      <color theme="1"/>
      <name val="Montserrat"/>
    </font>
    <font>
      <sz val="8.0"/>
      <color theme="1"/>
      <name val="Montserrat"/>
    </font>
    <font>
      <sz val="8.0"/>
      <color rgb="FFFFFFFF"/>
      <name val="Montserrat"/>
    </font>
    <font>
      <sz val="8.0"/>
      <color theme="0"/>
      <name val="Montserrat"/>
    </font>
    <font>
      <sz val="8.0"/>
      <color rgb="FF000000"/>
      <name val="Montserrat"/>
    </font>
    <font>
      <color theme="1"/>
      <name val="Arial"/>
      <scheme val="minor"/>
    </font>
    <font>
      <color theme="1"/>
      <name val="Arial"/>
    </font>
    <font>
      <b/>
      <sz val="8.0"/>
      <color theme="6"/>
      <name val="Montserrat"/>
    </font>
    <font>
      <b/>
      <sz val="8.0"/>
      <color rgb="FFFBBC04"/>
      <name val="Montserrat"/>
    </font>
    <font>
      <sz val="8.0"/>
      <color theme="0"/>
      <name val="Arial"/>
      <scheme val="minor"/>
    </font>
    <font>
      <sz val="8.0"/>
      <color theme="1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6D01"/>
        <bgColor rgb="FFFF6D01"/>
      </patternFill>
    </fill>
    <fill>
      <patternFill patternType="solid">
        <fgColor rgb="FF4285F4"/>
        <bgColor rgb="FF4285F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BBC04"/>
        <bgColor rgb="FFFBBC04"/>
      </patternFill>
    </fill>
    <fill>
      <patternFill patternType="solid">
        <fgColor theme="1"/>
        <bgColor theme="1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8"/>
        <bgColor theme="8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46BDC6"/>
        <bgColor rgb="FF46BDC6"/>
      </patternFill>
    </fill>
  </fills>
  <borders count="93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top style="thin">
        <color rgb="FFFFFFFF"/>
      </top>
      <bottom style="thin">
        <color rgb="FFFFFFFF"/>
      </bottom>
    </border>
    <border>
      <left style="thin">
        <color rgb="FFFBBC04"/>
      </left>
      <top style="thin">
        <color rgb="FFFBBC04"/>
      </top>
      <bottom style="thin">
        <color rgb="FFFBBC04"/>
      </bottom>
    </border>
    <border>
      <top style="thin">
        <color rgb="FFFBBC04"/>
      </top>
      <bottom style="thin">
        <color rgb="FFFBBC04"/>
      </bottom>
    </border>
    <border>
      <right style="thin">
        <color rgb="FFFBBC04"/>
      </right>
      <top style="thin">
        <color rgb="FFFBBC04"/>
      </top>
      <bottom style="thin">
        <color rgb="FFFBBC04"/>
      </bottom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6BDC6"/>
      </left>
      <top style="thin">
        <color rgb="FF46BDC6"/>
      </top>
      <bottom style="thin">
        <color rgb="FF46BDC6"/>
      </bottom>
    </border>
    <border>
      <top style="thin">
        <color rgb="FF46BDC6"/>
      </top>
      <bottom style="thin">
        <color rgb="FF46BDC6"/>
      </bottom>
    </border>
    <border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34A853"/>
      </left>
      <top style="thin">
        <color rgb="FF34A853"/>
      </top>
      <bottom style="thin">
        <color rgb="FF34A853"/>
      </bottom>
    </border>
    <border>
      <top style="thin">
        <color rgb="FF34A853"/>
      </top>
      <bottom style="thin">
        <color rgb="FF34A853"/>
      </bottom>
    </border>
    <border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left style="thin">
        <color rgb="FFFBBC04"/>
      </left>
      <top style="thin">
        <color rgb="FFFBBC04"/>
      </top>
    </border>
    <border>
      <top style="thin">
        <color rgb="FFFBBC04"/>
      </top>
    </border>
    <border>
      <right style="thin">
        <color rgb="FFFBBC04"/>
      </right>
      <top style="thin">
        <color rgb="FFFBBC04"/>
      </top>
    </border>
    <border>
      <left style="thin">
        <color rgb="FFFBBC04"/>
      </left>
      <right style="thin">
        <color rgb="FFFBBC04"/>
      </right>
      <top style="thin">
        <color rgb="FFFBBC04"/>
      </top>
    </border>
    <border>
      <left style="thin">
        <color rgb="FFFBBC04"/>
      </left>
    </border>
    <border>
      <right style="thin">
        <color rgb="FFFBBC04"/>
      </right>
    </border>
    <border>
      <left style="thin">
        <color rgb="FFFFFFFF"/>
      </left>
    </border>
    <border>
      <right style="thin">
        <color rgb="FFFFFFFF"/>
      </right>
    </border>
    <border>
      <left style="thin">
        <color rgb="FFFBBC04"/>
      </left>
      <bottom style="thin">
        <color rgb="FFFBBC04"/>
      </bottom>
    </border>
    <border>
      <bottom style="thin">
        <color rgb="FFFBBC04"/>
      </bottom>
    </border>
    <border>
      <right style="thin">
        <color rgb="FFFBBC04"/>
      </right>
      <bottom style="thin">
        <color rgb="FFFBBC04"/>
      </bottom>
    </border>
    <border>
      <left style="thin">
        <color rgb="FF4285F4"/>
      </left>
    </border>
    <border>
      <left style="thin">
        <color rgb="FFFBBC04"/>
      </left>
      <right style="thin">
        <color rgb="FFFBBC04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BBC04"/>
      </left>
      <right style="thin">
        <color rgb="FFFBBC04"/>
      </right>
      <bottom style="thin">
        <color rgb="FFFBBC04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BBC04"/>
      </top>
      <bottom style="thin">
        <color rgb="FFFBBC04"/>
      </bottom>
    </border>
    <border>
      <left style="thin">
        <color rgb="FFFBBC04"/>
      </left>
      <right style="thin">
        <color rgb="FFFFFFFF"/>
      </right>
      <top style="thin">
        <color rgb="FFFBBC04"/>
      </top>
      <bottom style="thin">
        <color rgb="FFFBBC0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4285F4"/>
      </right>
      <top style="thin">
        <color rgb="FF4285F4"/>
      </top>
    </border>
    <border>
      <left style="thin">
        <color rgb="FFFF6D01"/>
      </left>
      <top style="thin">
        <color rgb="FFFF6D01"/>
      </top>
    </border>
    <border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EA4335"/>
      </left>
      <top style="thin">
        <color rgb="FFEA4335"/>
      </top>
    </border>
    <border>
      <top style="thin">
        <color rgb="FFEA4335"/>
      </top>
    </border>
    <border>
      <right style="thin">
        <color rgb="FFEA4335"/>
      </right>
      <top style="thin">
        <color rgb="FFEA4335"/>
      </top>
    </border>
    <border>
      <left style="thin">
        <color rgb="FFEA4335"/>
      </left>
      <right style="thin">
        <color rgb="FFEA4335"/>
      </right>
      <top style="thin">
        <color rgb="FFEA4335"/>
      </top>
    </border>
    <border>
      <right style="thin">
        <color rgb="FF4285F4"/>
      </right>
    </border>
    <border>
      <left style="thin">
        <color rgb="FFFF6D01"/>
      </left>
      <bottom style="thin">
        <color rgb="FFFF6D01"/>
      </bottom>
    </border>
    <border>
      <bottom style="thin">
        <color rgb="FFFF6D01"/>
      </bottom>
    </border>
    <border>
      <right style="thin">
        <color rgb="FFFF6D01"/>
      </right>
      <bottom style="thin">
        <color rgb="FFFF6D01"/>
      </bottom>
    </border>
    <border>
      <left style="thin">
        <color rgb="FFEA4335"/>
      </left>
    </border>
    <border>
      <right style="thin">
        <color rgb="FFEA4335"/>
      </right>
    </border>
    <border>
      <left style="thin">
        <color rgb="FFEA4335"/>
      </left>
      <right style="thin">
        <color rgb="FFEA4335"/>
      </right>
    </border>
    <border>
      <left style="thin">
        <color rgb="FFEA4335"/>
      </left>
      <bottom style="thin">
        <color rgb="FFEA4335"/>
      </bottom>
    </border>
    <border>
      <bottom style="thin">
        <color rgb="FFEA4335"/>
      </bottom>
    </border>
    <border>
      <right style="thin">
        <color rgb="FFEA4335"/>
      </right>
      <bottom style="thin">
        <color rgb="FFEA4335"/>
      </bottom>
    </border>
    <border>
      <left style="thin">
        <color rgb="FFEA4335"/>
      </left>
      <right style="thin">
        <color rgb="FFEA4335"/>
      </right>
      <bottom style="thin">
        <color rgb="FFEA4335"/>
      </bottom>
    </border>
    <border>
      <left style="thin">
        <color rgb="FFFBBC04"/>
      </left>
      <right style="thin">
        <color rgb="FFFBBC04"/>
      </right>
      <top style="thin">
        <color rgb="FFFBBC04"/>
      </top>
      <bottom style="thin">
        <color rgb="FFFBBC04"/>
      </bottom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EA4335"/>
      </left>
      <right style="thin">
        <color rgb="FFEA4335"/>
      </right>
      <top style="thin">
        <color rgb="FFEA4335"/>
      </top>
      <bottom style="thin">
        <color rgb="FFEA4335"/>
      </bottom>
    </border>
    <border>
      <left style="thin">
        <color rgb="FFEA4335"/>
      </left>
      <top style="thin">
        <color rgb="FFF4CCCC"/>
      </top>
    </border>
    <border>
      <top style="thin">
        <color rgb="FFF4CCCC"/>
      </top>
    </border>
    <border>
      <right style="thin">
        <color rgb="FFEA4335"/>
      </right>
      <top style="thin">
        <color rgb="FFF4CCCC"/>
      </top>
    </border>
    <border>
      <left style="thin">
        <color rgb="FFFFFFFF"/>
      </left>
      <top style="thin">
        <color rgb="FF34A853"/>
      </top>
      <bottom style="thin">
        <color rgb="FFFFFFFF"/>
      </bottom>
    </border>
    <border>
      <right style="thin">
        <color rgb="FFFFFFFF"/>
      </right>
      <top style="thin">
        <color rgb="FF34A853"/>
      </top>
      <bottom style="thin">
        <color rgb="FFFFFFFF"/>
      </bottom>
    </border>
    <border>
      <top style="thin">
        <color rgb="FF34A853"/>
      </top>
      <bottom style="thin">
        <color rgb="FFFFFFFF"/>
      </bottom>
    </border>
    <border>
      <top style="thin">
        <color rgb="FFF4CCCC"/>
      </top>
      <bottom style="thin">
        <color rgb="FFEA4335"/>
      </bottom>
    </border>
    <border>
      <right style="thin">
        <color rgb="FFEA4335"/>
      </right>
      <top style="thin">
        <color rgb="FFF4CCCC"/>
      </top>
      <bottom style="thin">
        <color rgb="FFEA4335"/>
      </bottom>
    </border>
    <border>
      <right style="thin">
        <color rgb="FF4285F4"/>
      </right>
      <bottom style="thin">
        <color rgb="FF4285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3" fontId="2" numFmtId="0" xfId="0" applyAlignment="1" applyBorder="1" applyFill="1" applyFont="1">
      <alignment horizontal="center" readingOrder="0" shrinkToFit="0" vertical="center" wrapText="0"/>
    </xf>
    <xf borderId="4" fillId="4" fontId="2" numFmtId="0" xfId="0" applyAlignment="1" applyBorder="1" applyFill="1" applyFont="1">
      <alignment horizontal="center" readingOrder="0" shrinkToFit="0" vertical="center" wrapText="0"/>
    </xf>
    <xf borderId="5" fillId="0" fontId="3" numFmtId="0" xfId="0" applyBorder="1" applyFont="1"/>
    <xf borderId="6" fillId="0" fontId="3" numFmtId="0" xfId="0" applyBorder="1" applyFont="1"/>
    <xf borderId="3" fillId="3" fontId="4" numFmtId="0" xfId="0" applyAlignment="1" applyBorder="1" applyFont="1">
      <alignment horizontal="center" shrinkToFit="0" vertical="center" wrapText="0"/>
    </xf>
    <xf borderId="7" fillId="5" fontId="5" numFmtId="0" xfId="0" applyAlignment="1" applyBorder="1" applyFill="1" applyFont="1">
      <alignment horizontal="center" shrinkToFit="0" textRotation="0" vertical="center" wrapText="0"/>
    </xf>
    <xf borderId="8" fillId="0" fontId="3" numFmtId="0" xfId="0" applyBorder="1" applyFont="1"/>
    <xf borderId="9" fillId="0" fontId="3" numFmtId="0" xfId="0" applyBorder="1" applyFont="1"/>
    <xf borderId="1" fillId="6" fontId="5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11" fillId="0" fontId="3" numFmtId="0" xfId="0" applyBorder="1" applyFont="1"/>
    <xf borderId="12" fillId="7" fontId="5" numFmtId="0" xfId="0" applyAlignment="1" applyBorder="1" applyFill="1" applyFont="1">
      <alignment horizontal="center" readingOrder="0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8" fontId="5" numFmtId="0" xfId="0" applyAlignment="1" applyBorder="1" applyFill="1" applyFont="1">
      <alignment horizontal="center" readingOrder="0" shrinkToFit="0" vertical="center" wrapText="0"/>
    </xf>
    <xf borderId="16" fillId="0" fontId="3" numFmtId="0" xfId="0" applyBorder="1" applyFont="1"/>
    <xf borderId="17" fillId="0" fontId="3" numFmtId="0" xfId="0" applyBorder="1" applyFont="1"/>
    <xf borderId="18" fillId="9" fontId="6" numFmtId="0" xfId="0" applyAlignment="1" applyBorder="1" applyFill="1" applyFont="1">
      <alignment horizontal="center" readingOrder="0" shrinkToFit="0" vertical="center" wrapText="0"/>
    </xf>
    <xf borderId="19" fillId="0" fontId="3" numFmtId="0" xfId="0" applyBorder="1" applyFont="1"/>
    <xf borderId="20" fillId="0" fontId="3" numFmtId="0" xfId="0" applyBorder="1" applyFont="1"/>
    <xf borderId="21" fillId="2" fontId="7" numFmtId="0" xfId="0" applyAlignment="1" applyBorder="1" applyFont="1">
      <alignment horizontal="center" readingOrder="0" shrinkToFit="0" textRotation="90" vertical="center" wrapText="1"/>
    </xf>
    <xf borderId="22" fillId="0" fontId="3" numFmtId="0" xfId="0" applyBorder="1" applyFont="1"/>
    <xf borderId="3" fillId="3" fontId="8" numFmtId="0" xfId="0" applyAlignment="1" applyBorder="1" applyFont="1">
      <alignment horizontal="left" readingOrder="0" shrinkToFit="0" vertical="bottom" wrapText="1"/>
    </xf>
    <xf borderId="23" fillId="10" fontId="8" numFmtId="0" xfId="0" applyAlignment="1" applyBorder="1" applyFill="1" applyFont="1">
      <alignment horizontal="left" readingOrder="0" shrinkToFit="0" vertical="bottom" wrapText="1"/>
    </xf>
    <xf borderId="24" fillId="0" fontId="3" numFmtId="0" xfId="0" applyBorder="1" applyFont="1"/>
    <xf borderId="25" fillId="0" fontId="3" numFmtId="0" xfId="0" applyBorder="1" applyFont="1"/>
    <xf borderId="26" fillId="10" fontId="8" numFmtId="0" xfId="0" applyAlignment="1" applyBorder="1" applyFont="1">
      <alignment horizontal="right" readingOrder="0" shrinkToFit="0" textRotation="90" vertical="center" wrapText="1"/>
    </xf>
    <xf borderId="26" fillId="10" fontId="8" numFmtId="164" xfId="0" applyAlignment="1" applyBorder="1" applyFont="1" applyNumberFormat="1">
      <alignment horizontal="center" readingOrder="0" shrinkToFit="0" textRotation="90" vertical="center" wrapText="1"/>
    </xf>
    <xf borderId="0" fillId="11" fontId="9" numFmtId="0" xfId="0" applyAlignment="1" applyFill="1" applyFont="1">
      <alignment vertical="center"/>
    </xf>
    <xf borderId="27" fillId="4" fontId="8" numFmtId="0" xfId="0" applyAlignment="1" applyBorder="1" applyFont="1">
      <alignment horizontal="right" readingOrder="0" shrinkToFit="0" textRotation="0" vertical="center" wrapText="1"/>
    </xf>
    <xf borderId="28" fillId="0" fontId="3" numFmtId="0" xfId="0" applyBorder="1" applyFont="1"/>
    <xf borderId="29" fillId="12" fontId="5" numFmtId="0" xfId="0" applyAlignment="1" applyBorder="1" applyFill="1" applyFont="1">
      <alignment horizontal="center" readingOrder="0" shrinkToFit="0" textRotation="0" vertical="center" wrapText="1"/>
    </xf>
    <xf borderId="30" fillId="0" fontId="3" numFmtId="0" xfId="0" applyBorder="1" applyFont="1"/>
    <xf borderId="29" fillId="12" fontId="6" numFmtId="0" xfId="0" applyAlignment="1" applyBorder="1" applyFont="1">
      <alignment horizontal="center" readingOrder="0" shrinkToFit="0" textRotation="0" vertical="center" wrapText="1"/>
    </xf>
    <xf borderId="1" fillId="13" fontId="5" numFmtId="0" xfId="0" applyAlignment="1" applyBorder="1" applyFill="1" applyFont="1">
      <alignment horizontal="center" readingOrder="0" shrinkToFit="0" vertical="center" wrapText="0"/>
    </xf>
    <xf borderId="31" fillId="4" fontId="2" numFmtId="0" xfId="0" applyAlignment="1" applyBorder="1" applyFont="1">
      <alignment horizontal="left" readingOrder="0" shrinkToFit="0" vertical="center" wrapText="1"/>
    </xf>
    <xf borderId="32" fillId="0" fontId="3" numFmtId="0" xfId="0" applyBorder="1" applyFont="1"/>
    <xf borderId="33" fillId="0" fontId="3" numFmtId="0" xfId="0" applyBorder="1" applyFont="1"/>
    <xf borderId="31" fillId="4" fontId="2" numFmtId="0" xfId="0" applyAlignment="1" applyBorder="1" applyFont="1">
      <alignment horizontal="center" shrinkToFit="0" vertical="center" wrapText="1"/>
    </xf>
    <xf borderId="31" fillId="4" fontId="2" numFmtId="165" xfId="0" applyAlignment="1" applyBorder="1" applyFont="1" applyNumberFormat="1">
      <alignment horizontal="center" shrinkToFit="0" vertical="center" wrapText="1"/>
    </xf>
    <xf borderId="31" fillId="4" fontId="2" numFmtId="0" xfId="0" applyAlignment="1" applyBorder="1" applyFont="1">
      <alignment horizontal="center" shrinkToFit="0" vertical="center" wrapText="0"/>
    </xf>
    <xf borderId="31" fillId="4" fontId="2" numFmtId="165" xfId="0" applyAlignment="1" applyBorder="1" applyFont="1" applyNumberFormat="1">
      <alignment horizontal="center" readingOrder="0" shrinkToFit="0" vertical="center" wrapText="0"/>
    </xf>
    <xf borderId="31" fillId="4" fontId="8" numFmtId="0" xfId="0" applyAlignment="1" applyBorder="1" applyFont="1">
      <alignment horizontal="left" readingOrder="0" shrinkToFit="0" vertical="center" wrapText="1"/>
    </xf>
    <xf borderId="31" fillId="4" fontId="8" numFmtId="1" xfId="0" applyAlignment="1" applyBorder="1" applyFont="1" applyNumberFormat="1">
      <alignment horizontal="center" shrinkToFit="0" vertical="center" wrapText="1"/>
    </xf>
    <xf borderId="31" fillId="4" fontId="8" numFmtId="1" xfId="0" applyAlignment="1" applyBorder="1" applyFont="1" applyNumberFormat="1">
      <alignment horizontal="center" readingOrder="0" shrinkToFit="0" vertical="center" wrapText="1"/>
    </xf>
    <xf borderId="31" fillId="4" fontId="8" numFmtId="0" xfId="0" applyAlignment="1" applyBorder="1" applyFont="1">
      <alignment horizontal="left" shrinkToFit="0" vertical="center" wrapText="1"/>
    </xf>
    <xf borderId="23" fillId="4" fontId="8" numFmtId="0" xfId="0" applyAlignment="1" applyBorder="1" applyFont="1">
      <alignment horizontal="left" readingOrder="0" shrinkToFit="0" vertical="bottom" wrapText="1"/>
    </xf>
    <xf borderId="23" fillId="4" fontId="8" numFmtId="0" xfId="0" applyAlignment="1" applyBorder="1" applyFont="1">
      <alignment horizontal="center" readingOrder="0" shrinkToFit="0" vertical="bottom" wrapText="1"/>
    </xf>
    <xf borderId="26" fillId="4" fontId="8" numFmtId="164" xfId="0" applyAlignment="1" applyBorder="1" applyFont="1" applyNumberFormat="1">
      <alignment horizontal="center" readingOrder="0" shrinkToFit="0" textRotation="90" vertical="center" wrapText="1"/>
    </xf>
    <xf borderId="0" fillId="14" fontId="6" numFmtId="165" xfId="0" applyAlignment="1" applyFill="1" applyFont="1" applyNumberFormat="1">
      <alignment horizontal="left" readingOrder="0" vertical="bottom"/>
    </xf>
    <xf borderId="0" fillId="11" fontId="8" numFmtId="0" xfId="0" applyAlignment="1" applyFont="1">
      <alignment horizontal="center" vertical="center"/>
    </xf>
    <xf borderId="34" fillId="0" fontId="3" numFmtId="0" xfId="0" applyBorder="1" applyFont="1"/>
    <xf borderId="27" fillId="0" fontId="3" numFmtId="0" xfId="0" applyBorder="1" applyFont="1"/>
    <xf borderId="35" fillId="0" fontId="3" numFmtId="0" xfId="0" applyBorder="1" applyFont="1"/>
    <xf borderId="31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" fillId="15" fontId="2" numFmtId="165" xfId="0" applyAlignment="1" applyBorder="1" applyFill="1" applyFont="1" applyNumberFormat="1">
      <alignment horizontal="right" readingOrder="0" shrinkToFit="0" vertical="center" wrapText="1"/>
    </xf>
    <xf borderId="36" fillId="11" fontId="6" numFmtId="0" xfId="0" applyAlignment="1" applyBorder="1" applyFont="1">
      <alignment horizontal="left" shrinkToFit="0" vertical="center" wrapText="1"/>
    </xf>
    <xf borderId="36" fillId="11" fontId="6" numFmtId="0" xfId="0" applyAlignment="1" applyBorder="1" applyFont="1">
      <alignment horizontal="center" shrinkToFit="0" vertical="center" wrapText="1"/>
    </xf>
    <xf borderId="36" fillId="12" fontId="5" numFmtId="0" xfId="0" applyAlignment="1" applyBorder="1" applyFont="1">
      <alignment horizontal="center" readingOrder="0" shrinkToFit="0" vertical="center" wrapText="1"/>
    </xf>
    <xf borderId="36" fillId="11" fontId="6" numFmtId="165" xfId="0" applyAlignment="1" applyBorder="1" applyFont="1" applyNumberFormat="1">
      <alignment horizontal="center" shrinkToFit="0" vertical="center" wrapText="1"/>
    </xf>
    <xf borderId="36" fillId="11" fontId="6" numFmtId="1" xfId="0" applyAlignment="1" applyBorder="1" applyFont="1" applyNumberFormat="1">
      <alignment horizontal="center" shrinkToFit="0" vertical="center" wrapText="1"/>
    </xf>
    <xf borderId="36" fillId="11" fontId="6" numFmtId="166" xfId="0" applyAlignment="1" applyBorder="1" applyFont="1" applyNumberFormat="1">
      <alignment horizontal="center" shrinkToFit="0" vertical="center" wrapText="1"/>
    </xf>
    <xf borderId="36" fillId="14" fontId="5" numFmtId="0" xfId="0" applyAlignment="1" applyBorder="1" applyFont="1">
      <alignment horizontal="left" readingOrder="0" shrinkToFit="0" vertical="center" wrapText="1"/>
    </xf>
    <xf borderId="36" fillId="14" fontId="5" numFmtId="1" xfId="0" applyAlignment="1" applyBorder="1" applyFont="1" applyNumberFormat="1">
      <alignment horizontal="center" shrinkToFit="0" vertical="center" wrapText="1"/>
    </xf>
    <xf borderId="36" fillId="14" fontId="5" numFmtId="0" xfId="0" applyAlignment="1" applyBorder="1" applyFont="1">
      <alignment horizontal="right" readingOrder="0" shrinkToFit="0" vertical="center" wrapText="1"/>
    </xf>
    <xf borderId="36" fillId="11" fontId="5" numFmtId="165" xfId="0" applyAlignment="1" applyBorder="1" applyFont="1" applyNumberFormat="1">
      <alignment horizontal="left" shrinkToFit="0" vertical="center" wrapText="1"/>
    </xf>
    <xf borderId="23" fillId="4" fontId="8" numFmtId="0" xfId="0" applyAlignment="1" applyBorder="1" applyFont="1">
      <alignment horizontal="right" readingOrder="0" textRotation="0" vertical="center"/>
    </xf>
    <xf borderId="39" fillId="12" fontId="10" numFmtId="165" xfId="0" applyAlignment="1" applyBorder="1" applyFont="1" applyNumberFormat="1">
      <alignment horizontal="center" readingOrder="0" shrinkToFit="0" textRotation="0" vertical="center" wrapText="1"/>
    </xf>
    <xf borderId="3" fillId="0" fontId="3" numFmtId="0" xfId="0" applyBorder="1" applyFont="1"/>
    <xf borderId="40" fillId="0" fontId="3" numFmtId="0" xfId="0" applyBorder="1" applyFont="1"/>
    <xf borderId="39" fillId="12" fontId="11" numFmtId="165" xfId="0" applyAlignment="1" applyBorder="1" applyFont="1" applyNumberFormat="1">
      <alignment horizontal="center" readingOrder="0" shrinkToFit="0" textRotation="0" vertical="center" wrapText="1"/>
    </xf>
    <xf borderId="39" fillId="11" fontId="6" numFmtId="0" xfId="0" applyAlignment="1" applyBorder="1" applyFont="1">
      <alignment horizontal="left" shrinkToFit="0" vertical="center" wrapText="1"/>
    </xf>
    <xf borderId="39" fillId="11" fontId="6" numFmtId="0" xfId="0" applyAlignment="1" applyBorder="1" applyFont="1">
      <alignment horizontal="center" shrinkToFit="0" vertical="center" wrapText="1"/>
    </xf>
    <xf borderId="39" fillId="12" fontId="5" numFmtId="0" xfId="0" applyAlignment="1" applyBorder="1" applyFont="1">
      <alignment horizontal="center" readingOrder="0" shrinkToFit="0" vertical="center" wrapText="1"/>
    </xf>
    <xf borderId="39" fillId="11" fontId="6" numFmtId="165" xfId="0" applyAlignment="1" applyBorder="1" applyFont="1" applyNumberFormat="1">
      <alignment horizontal="center" shrinkToFit="0" vertical="center" wrapText="1"/>
    </xf>
    <xf borderId="39" fillId="11" fontId="6" numFmtId="1" xfId="0" applyAlignment="1" applyBorder="1" applyFont="1" applyNumberFormat="1">
      <alignment horizontal="center" shrinkToFit="0" vertical="center" wrapText="1"/>
    </xf>
    <xf borderId="39" fillId="11" fontId="6" numFmtId="166" xfId="0" applyAlignment="1" applyBorder="1" applyFont="1" applyNumberFormat="1">
      <alignment horizontal="center" shrinkToFit="0" vertical="center" wrapText="1"/>
    </xf>
    <xf borderId="39" fillId="14" fontId="5" numFmtId="0" xfId="0" applyAlignment="1" applyBorder="1" applyFont="1">
      <alignment horizontal="left" readingOrder="0" shrinkToFit="0" vertical="center" wrapText="1"/>
    </xf>
    <xf borderId="39" fillId="14" fontId="5" numFmtId="0" xfId="0" applyAlignment="1" applyBorder="1" applyFont="1">
      <alignment horizontal="right" shrinkToFit="0" vertical="center" wrapText="1"/>
    </xf>
    <xf borderId="39" fillId="11" fontId="5" numFmtId="165" xfId="0" applyAlignment="1" applyBorder="1" applyFont="1" applyNumberFormat="1">
      <alignment horizontal="left" shrinkToFit="0" vertical="center" wrapText="1"/>
    </xf>
    <xf borderId="41" fillId="0" fontId="3" numFmtId="0" xfId="0" applyBorder="1" applyFont="1"/>
    <xf borderId="42" fillId="11" fontId="10" numFmtId="0" xfId="0" applyAlignment="1" applyBorder="1" applyFont="1">
      <alignment horizontal="center" readingOrder="0" vertical="center"/>
    </xf>
    <xf borderId="43" fillId="0" fontId="3" numFmtId="0" xfId="0" applyBorder="1" applyFont="1"/>
    <xf borderId="44" fillId="0" fontId="3" numFmtId="0" xfId="0" applyBorder="1" applyFont="1"/>
    <xf borderId="36" fillId="11" fontId="11" numFmtId="0" xfId="0" applyAlignment="1" applyBorder="1" applyFont="1">
      <alignment horizontal="center" readingOrder="0" vertical="center"/>
    </xf>
    <xf borderId="39" fillId="11" fontId="6" numFmtId="0" xfId="0" applyAlignment="1" applyBorder="1" applyFont="1">
      <alignment horizontal="left" readingOrder="0" shrinkToFit="0" vertical="center" wrapText="1"/>
    </xf>
    <xf borderId="39" fillId="14" fontId="5" numFmtId="0" xfId="0" applyAlignment="1" applyBorder="1" applyFont="1">
      <alignment horizontal="left" shrinkToFit="0" vertical="center" wrapText="1"/>
    </xf>
    <xf borderId="39" fillId="11" fontId="5" numFmtId="1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ont="1">
      <alignment horizontal="left" shrinkToFit="0" vertical="center" wrapText="1"/>
    </xf>
    <xf borderId="36" fillId="14" fontId="5" numFmtId="0" xfId="0" applyAlignment="1" applyBorder="1" applyFont="1">
      <alignment horizontal="left" shrinkToFit="0" vertical="center" wrapText="1"/>
    </xf>
    <xf borderId="45" fillId="12" fontId="10" numFmtId="0" xfId="0" applyAlignment="1" applyBorder="1" applyFont="1">
      <alignment horizontal="center" readingOrder="0" shrinkToFit="0" vertical="center" wrapText="1"/>
    </xf>
    <xf borderId="45" fillId="12" fontId="11" numFmtId="0" xfId="0" applyAlignment="1" applyBorder="1" applyFont="1">
      <alignment horizontal="center" readingOrder="0" shrinkToFit="0" vertical="center" wrapText="1"/>
    </xf>
    <xf borderId="46" fillId="4" fontId="8" numFmtId="0" xfId="0" applyAlignment="1" applyBorder="1" applyFont="1">
      <alignment horizontal="center" readingOrder="0" vertical="center"/>
    </xf>
    <xf borderId="47" fillId="4" fontId="8" numFmtId="0" xfId="0" applyAlignment="1" applyBorder="1" applyFont="1">
      <alignment horizontal="center" readingOrder="0" vertical="center"/>
    </xf>
    <xf borderId="37" fillId="12" fontId="10" numFmtId="0" xfId="0" applyAlignment="1" applyBorder="1" applyFont="1">
      <alignment horizontal="center" readingOrder="0" shrinkToFit="0" vertical="center" wrapText="1"/>
    </xf>
    <xf borderId="36" fillId="12" fontId="10" numFmtId="0" xfId="0" applyAlignment="1" applyBorder="1" applyFont="1">
      <alignment horizontal="center" readingOrder="0" shrinkToFit="0" vertical="center" wrapText="1"/>
    </xf>
    <xf borderId="39" fillId="14" fontId="5" numFmtId="0" xfId="0" applyAlignment="1" applyBorder="1" applyFont="1">
      <alignment horizontal="right" readingOrder="0" shrinkToFit="0" vertical="center" wrapText="1"/>
    </xf>
    <xf borderId="36" fillId="14" fontId="10" numFmtId="0" xfId="0" applyAlignment="1" applyBorder="1" applyFont="1">
      <alignment horizontal="center" shrinkToFit="0" vertical="center" wrapText="1"/>
    </xf>
    <xf borderId="45" fillId="12" fontId="5" numFmtId="0" xfId="0" applyAlignment="1" applyBorder="1" applyFont="1">
      <alignment horizontal="center" readingOrder="0" shrinkToFit="0" vertical="center" wrapText="1"/>
    </xf>
    <xf borderId="45" fillId="12" fontId="6" numFmtId="0" xfId="0" applyAlignment="1" applyBorder="1" applyFont="1">
      <alignment horizontal="center" shrinkToFit="0" vertical="center" wrapText="1"/>
    </xf>
    <xf borderId="45" fillId="12" fontId="6" numFmtId="0" xfId="0" applyAlignment="1" applyBorder="1" applyFont="1">
      <alignment horizontal="center" readingOrder="0" shrinkToFit="0" vertical="center" wrapText="1"/>
    </xf>
    <xf borderId="39" fillId="11" fontId="11" numFmtId="165" xfId="0" applyAlignment="1" applyBorder="1" applyFont="1" applyNumberFormat="1">
      <alignment horizontal="left" shrinkToFit="0" vertical="center" wrapText="1"/>
    </xf>
    <xf borderId="0" fillId="11" fontId="9" numFmtId="0" xfId="0" applyAlignment="1" applyFont="1">
      <alignment horizontal="center" shrinkToFit="0" vertical="center" wrapText="1"/>
    </xf>
    <xf borderId="3" fillId="3" fontId="5" numFmtId="0" xfId="0" applyAlignment="1" applyBorder="1" applyFont="1">
      <alignment horizontal="left" readingOrder="0" vertical="center"/>
    </xf>
    <xf borderId="39" fillId="14" fontId="5" numFmtId="0" xfId="0" applyAlignment="1" applyBorder="1" applyFont="1">
      <alignment horizontal="left" readingOrder="0" vertical="center"/>
    </xf>
    <xf borderId="48" fillId="12" fontId="10" numFmtId="0" xfId="0" applyAlignment="1" applyBorder="1" applyFont="1">
      <alignment horizontal="center" readingOrder="0" shrinkToFit="0" vertical="center" wrapText="1"/>
    </xf>
    <xf borderId="48" fillId="12" fontId="11" numFmtId="0" xfId="0" applyAlignment="1" applyBorder="1" applyFont="1">
      <alignment horizontal="center" readingOrder="0" shrinkToFit="0" vertical="center" wrapText="1"/>
    </xf>
    <xf borderId="36" fillId="11" fontId="11" numFmtId="165" xfId="0" applyAlignment="1" applyBorder="1" applyFont="1" applyNumberFormat="1">
      <alignment horizontal="center" vertical="center"/>
    </xf>
    <xf borderId="3" fillId="11" fontId="11" numFmtId="165" xfId="0" applyAlignment="1" applyBorder="1" applyFont="1" applyNumberFormat="1">
      <alignment horizontal="center" readingOrder="0" shrinkToFit="0" textRotation="0" vertical="center" wrapText="1"/>
    </xf>
    <xf borderId="39" fillId="11" fontId="11" numFmtId="165" xfId="0" applyAlignment="1" applyBorder="1" applyFont="1" applyNumberFormat="1">
      <alignment horizontal="center" readingOrder="0" shrinkToFit="0" textRotation="0" vertical="center" wrapText="1"/>
    </xf>
    <xf borderId="39" fillId="14" fontId="10" numFmtId="0" xfId="0" applyAlignment="1" applyBorder="1" applyFont="1">
      <alignment horizontal="center" shrinkToFit="0" vertical="center" wrapText="1"/>
    </xf>
    <xf borderId="48" fillId="12" fontId="5" numFmtId="0" xfId="0" applyAlignment="1" applyBorder="1" applyFont="1">
      <alignment horizontal="center" readingOrder="0" shrinkToFit="0" vertical="center" wrapText="1"/>
    </xf>
    <xf borderId="48" fillId="12" fontId="6" numFmtId="0" xfId="0" applyAlignment="1" applyBorder="1" applyFont="1">
      <alignment horizontal="center" shrinkToFit="0" vertical="center" wrapText="1"/>
    </xf>
    <xf borderId="48" fillId="12" fontId="6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ont="1">
      <alignment horizontal="left" readingOrder="0" shrinkToFit="0" vertical="center" wrapText="1"/>
    </xf>
    <xf borderId="3" fillId="12" fontId="10" numFmtId="0" xfId="0" applyAlignment="1" applyBorder="1" applyFont="1">
      <alignment horizontal="center" readingOrder="0" shrinkToFit="0" vertical="center" wrapText="1"/>
    </xf>
    <xf borderId="39" fillId="12" fontId="10" numFmtId="0" xfId="0" applyAlignment="1" applyBorder="1" applyFont="1">
      <alignment horizontal="center" readingOrder="0" shrinkToFit="0" vertical="center" wrapText="1"/>
    </xf>
    <xf borderId="3" fillId="11" fontId="11" numFmtId="165" xfId="0" applyAlignment="1" applyBorder="1" applyFont="1" applyNumberFormat="1">
      <alignment horizontal="center" shrinkToFit="0" vertical="center" wrapText="1"/>
    </xf>
    <xf borderId="39" fillId="11" fontId="11" numFmtId="165" xfId="0" applyAlignment="1" applyBorder="1" applyFont="1" applyNumberFormat="1">
      <alignment horizontal="center" shrinkToFit="0" vertical="center" wrapText="1"/>
    </xf>
    <xf borderId="39" fillId="12" fontId="5" numFmtId="165" xfId="0" applyAlignment="1" applyBorder="1" applyFont="1" applyNumberFormat="1">
      <alignment horizontal="center" readingOrder="0" vertical="center"/>
    </xf>
    <xf borderId="39" fillId="11" fontId="6" numFmtId="3" xfId="0" applyAlignment="1" applyBorder="1" applyFont="1" applyNumberFormat="1">
      <alignment horizontal="center" shrinkToFit="0" vertical="center" wrapText="1"/>
    </xf>
    <xf borderId="0" fillId="6" fontId="5" numFmtId="0" xfId="0" applyAlignment="1" applyFont="1">
      <alignment horizontal="center" readingOrder="0" shrinkToFit="0" textRotation="0" vertical="center" wrapText="0"/>
    </xf>
    <xf borderId="39" fillId="12" fontId="5" numFmtId="165" xfId="0" applyAlignment="1" applyBorder="1" applyFont="1" applyNumberFormat="1">
      <alignment horizontal="center" readingOrder="0" shrinkToFit="0" vertical="center" wrapText="1"/>
    </xf>
    <xf borderId="39" fillId="11" fontId="5" numFmtId="165" xfId="0" applyAlignment="1" applyBorder="1" applyFont="1" applyNumberFormat="1">
      <alignment horizontal="center" readingOrder="0" shrinkToFit="0" vertical="center" wrapText="1"/>
    </xf>
    <xf borderId="39" fillId="11" fontId="11" numFmtId="0" xfId="0" applyAlignment="1" applyBorder="1" applyFont="1">
      <alignment vertical="center"/>
    </xf>
    <xf borderId="39" fillId="11" fontId="6" numFmtId="1" xfId="0" applyAlignment="1" applyBorder="1" applyFont="1" applyNumberFormat="1">
      <alignment horizontal="center" vertical="center"/>
    </xf>
    <xf borderId="23" fillId="4" fontId="8" numFmtId="0" xfId="0" applyAlignment="1" applyBorder="1" applyFont="1">
      <alignment horizontal="right" readingOrder="0" shrinkToFit="0" textRotation="0" vertical="center" wrapText="1"/>
    </xf>
    <xf borderId="49" fillId="11" fontId="10" numFmtId="0" xfId="0" applyAlignment="1" applyBorder="1" applyFont="1">
      <alignment horizontal="center" readingOrder="0" vertical="center"/>
    </xf>
    <xf borderId="50" fillId="0" fontId="3" numFmtId="0" xfId="0" applyBorder="1" applyFont="1"/>
    <xf borderId="51" fillId="0" fontId="3" numFmtId="0" xfId="0" applyBorder="1" applyFont="1"/>
    <xf borderId="0" fillId="11" fontId="6" numFmtId="0" xfId="0" applyAlignment="1" applyFont="1">
      <alignment horizontal="right" shrinkToFit="0" vertical="center" wrapText="1"/>
    </xf>
    <xf borderId="0" fillId="11" fontId="11" numFmtId="1" xfId="0" applyAlignment="1" applyFont="1" applyNumberFormat="1">
      <alignment vertical="center"/>
    </xf>
    <xf borderId="0" fillId="11" fontId="5" numFmtId="0" xfId="0" applyAlignment="1" applyFont="1">
      <alignment horizontal="left" readingOrder="0" shrinkToFit="0" vertical="center" wrapText="1"/>
    </xf>
    <xf borderId="39" fillId="8" fontId="5" numFmtId="0" xfId="0" applyAlignment="1" applyBorder="1" applyFont="1">
      <alignment horizontal="left" readingOrder="0" shrinkToFit="0" vertical="center" wrapText="1"/>
    </xf>
    <xf borderId="39" fillId="8" fontId="6" numFmtId="165" xfId="0" applyAlignment="1" applyBorder="1" applyFont="1" applyNumberFormat="1">
      <alignment horizontal="left" vertical="center"/>
    </xf>
    <xf borderId="48" fillId="12" fontId="6" numFmtId="0" xfId="0" applyAlignment="1" applyBorder="1" applyFont="1">
      <alignment vertical="center"/>
    </xf>
    <xf borderId="48" fillId="12" fontId="6" numFmtId="0" xfId="0" applyAlignment="1" applyBorder="1" applyFont="1">
      <alignment readingOrder="0" vertical="center"/>
    </xf>
    <xf borderId="49" fillId="14" fontId="5" numFmtId="0" xfId="0" applyAlignment="1" applyBorder="1" applyFont="1">
      <alignment horizontal="left" readingOrder="0" shrinkToFit="0" vertical="center" wrapText="1"/>
    </xf>
    <xf borderId="52" fillId="12" fontId="10" numFmtId="165" xfId="0" applyAlignment="1" applyBorder="1" applyFont="1" applyNumberFormat="1">
      <alignment horizontal="center" readingOrder="0" shrinkToFit="0" textRotation="90" vertical="center" wrapText="1"/>
    </xf>
    <xf borderId="52" fillId="12" fontId="11" numFmtId="165" xfId="0" applyAlignment="1" applyBorder="1" applyFont="1" applyNumberFormat="1">
      <alignment horizontal="center" readingOrder="0" shrinkToFit="0" textRotation="90" vertical="center" wrapText="1"/>
    </xf>
    <xf borderId="0" fillId="11" fontId="9" numFmtId="1" xfId="0" applyAlignment="1" applyFont="1" applyNumberFormat="1">
      <alignment horizontal="center" vertical="center"/>
    </xf>
    <xf borderId="0" fillId="14" fontId="4" numFmtId="1" xfId="0" applyAlignment="1" applyFont="1" applyNumberFormat="1">
      <alignment horizontal="center" vertical="center"/>
    </xf>
    <xf borderId="0" fillId="11" fontId="9" numFmtId="0" xfId="0" applyAlignment="1" applyFont="1">
      <alignment vertical="center"/>
    </xf>
    <xf borderId="0" fillId="11" fontId="11" numFmtId="0" xfId="0" applyAlignment="1" applyFont="1">
      <alignment vertical="center"/>
    </xf>
    <xf borderId="39" fillId="9" fontId="5" numFmtId="0" xfId="0" applyAlignment="1" applyBorder="1" applyFont="1">
      <alignment horizontal="left" readingOrder="0" shrinkToFit="0" vertical="center" wrapText="1"/>
    </xf>
    <xf borderId="39" fillId="9" fontId="6" numFmtId="165" xfId="0" applyAlignment="1" applyBorder="1" applyFont="1" applyNumberFormat="1">
      <alignment horizontal="left" shrinkToFit="0" vertical="center" wrapText="1"/>
    </xf>
    <xf borderId="0" fillId="11" fontId="5" numFmtId="0" xfId="0" applyAlignment="1" applyFont="1">
      <alignment horizontal="center" shrinkToFit="0" vertical="center" wrapText="1"/>
    </xf>
    <xf borderId="29" fillId="0" fontId="3" numFmtId="0" xfId="0" applyBorder="1" applyFont="1"/>
    <xf borderId="53" fillId="0" fontId="3" numFmtId="0" xfId="0" applyBorder="1" applyFont="1"/>
    <xf borderId="3" fillId="11" fontId="10" numFmtId="0" xfId="0" applyAlignment="1" applyBorder="1" applyFont="1">
      <alignment horizontal="center" readingOrder="0" vertical="center"/>
    </xf>
    <xf borderId="39" fillId="11" fontId="10" numFmtId="0" xfId="0" applyAlignment="1" applyBorder="1" applyFont="1">
      <alignment horizontal="center" readingOrder="0" vertical="center"/>
    </xf>
    <xf borderId="0" fillId="11" fontId="9" numFmtId="165" xfId="0" applyAlignment="1" applyFont="1" applyNumberFormat="1">
      <alignment horizontal="left" vertical="center"/>
    </xf>
    <xf borderId="0" fillId="11" fontId="9" numFmtId="165" xfId="0" applyAlignment="1" applyFont="1" applyNumberFormat="1">
      <alignment vertical="center"/>
    </xf>
    <xf borderId="46" fillId="4" fontId="8" numFmtId="0" xfId="0" applyAlignment="1" applyBorder="1" applyFont="1">
      <alignment horizontal="right" readingOrder="0" vertical="center"/>
    </xf>
    <xf borderId="47" fillId="4" fontId="8" numFmtId="0" xfId="0" applyAlignment="1" applyBorder="1" applyFont="1">
      <alignment horizontal="left" readingOrder="0" vertical="center"/>
    </xf>
    <xf borderId="39" fillId="11" fontId="11" numFmtId="0" xfId="0" applyAlignment="1" applyBorder="1" applyFont="1">
      <alignment horizontal="center" vertical="center"/>
    </xf>
    <xf borderId="54" fillId="0" fontId="3" numFmtId="0" xfId="0" applyBorder="1" applyFont="1"/>
    <xf borderId="55" fillId="0" fontId="3" numFmtId="0" xfId="0" applyBorder="1" applyFont="1"/>
    <xf borderId="45" fillId="0" fontId="3" numFmtId="0" xfId="0" applyBorder="1" applyFont="1"/>
    <xf borderId="0" fillId="11" fontId="4" numFmtId="0" xfId="0" applyFont="1"/>
    <xf borderId="1" fillId="2" fontId="7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0" fillId="11" fontId="5" numFmtId="0" xfId="0" applyAlignment="1" applyFont="1">
      <alignment horizontal="center" vertical="center"/>
    </xf>
    <xf borderId="0" fillId="11" fontId="9" numFmtId="0" xfId="0" applyAlignment="1" applyFont="1">
      <alignment horizontal="center" vertical="center"/>
    </xf>
    <xf borderId="0" fillId="11" fontId="9" numFmtId="0" xfId="0" applyAlignment="1" applyFont="1">
      <alignment horizontal="center" shrinkToFit="0" vertical="center" wrapText="1"/>
    </xf>
    <xf borderId="37" fillId="14" fontId="4" numFmtId="1" xfId="0" applyAlignment="1" applyBorder="1" applyFont="1" applyNumberFormat="1">
      <alignment horizontal="center" vertical="center"/>
    </xf>
    <xf borderId="40" fillId="3" fontId="5" numFmtId="0" xfId="0" applyAlignment="1" applyBorder="1" applyFont="1">
      <alignment horizontal="center" vertical="center"/>
    </xf>
    <xf borderId="52" fillId="16" fontId="5" numFmtId="0" xfId="0" applyAlignment="1" applyBorder="1" applyFill="1" applyFont="1">
      <alignment horizontal="center" vertical="center"/>
    </xf>
    <xf borderId="52" fillId="16" fontId="5" numFmtId="0" xfId="0" applyAlignment="1" applyBorder="1" applyFont="1">
      <alignment horizontal="center" shrinkToFit="0" vertical="center" wrapText="1"/>
    </xf>
    <xf borderId="52" fillId="16" fontId="5" numFmtId="1" xfId="0" applyAlignment="1" applyBorder="1" applyFont="1" applyNumberFormat="1">
      <alignment horizontal="center" vertical="center"/>
    </xf>
    <xf borderId="52" fillId="3" fontId="4" numFmtId="1" xfId="0" applyAlignment="1" applyBorder="1" applyFont="1" applyNumberFormat="1">
      <alignment horizontal="center" vertical="center"/>
    </xf>
    <xf borderId="52" fillId="16" fontId="5" numFmtId="165" xfId="0" applyAlignment="1" applyBorder="1" applyFont="1" applyNumberFormat="1">
      <alignment horizontal="left" vertical="center"/>
    </xf>
    <xf borderId="52" fillId="16" fontId="5" numFmtId="165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left" readingOrder="0" shrinkToFit="0" vertical="center" wrapText="1"/>
    </xf>
    <xf borderId="2" fillId="2" fontId="7" numFmtId="0" xfId="0" applyAlignment="1" applyBorder="1" applyFont="1">
      <alignment horizontal="left" readingOrder="0" shrinkToFit="0" vertical="center" wrapText="1"/>
    </xf>
    <xf borderId="56" fillId="3" fontId="4" numFmtId="0" xfId="0" applyBorder="1" applyFont="1"/>
    <xf borderId="57" fillId="11" fontId="8" numFmtId="0" xfId="0" applyAlignment="1" applyBorder="1" applyFont="1">
      <alignment horizontal="left" readingOrder="0" shrinkToFit="0" vertical="center" wrapText="1"/>
    </xf>
    <xf borderId="57" fillId="11" fontId="6" numFmtId="0" xfId="0" applyAlignment="1" applyBorder="1" applyFont="1">
      <alignment horizontal="center" readingOrder="0" shrinkToFit="0" vertical="center" wrapText="1"/>
    </xf>
    <xf borderId="57" fillId="11" fontId="6" numFmtId="0" xfId="0" applyAlignment="1" applyBorder="1" applyFont="1">
      <alignment horizontal="left" readingOrder="0" shrinkToFit="0" vertical="center" wrapText="1"/>
    </xf>
    <xf borderId="57" fillId="11" fontId="8" numFmtId="1" xfId="0" applyAlignment="1" applyBorder="1" applyFont="1" applyNumberFormat="1">
      <alignment horizontal="center" readingOrder="0" shrinkToFit="0" vertical="center" wrapText="1"/>
    </xf>
    <xf borderId="57" fillId="14" fontId="4" numFmtId="1" xfId="0" applyAlignment="1" applyBorder="1" applyFont="1" applyNumberFormat="1">
      <alignment horizontal="center" vertical="center"/>
    </xf>
    <xf borderId="57" fillId="11" fontId="8" numFmtId="165" xfId="0" applyAlignment="1" applyBorder="1" applyFont="1" applyNumberFormat="1">
      <alignment horizontal="left" readingOrder="0" shrinkToFit="0" vertical="center" wrapText="1"/>
    </xf>
    <xf borderId="1" fillId="2" fontId="7" numFmtId="0" xfId="0" applyAlignment="1" applyBorder="1" applyFont="1">
      <alignment horizontal="center" readingOrder="0" shrinkToFit="0" textRotation="90" vertical="center" wrapText="0"/>
    </xf>
    <xf borderId="2" fillId="2" fontId="7" numFmtId="0" xfId="0" applyAlignment="1" applyBorder="1" applyFont="1">
      <alignment horizontal="center" readingOrder="0" shrinkToFit="0" textRotation="90" vertical="center" wrapText="0"/>
    </xf>
    <xf borderId="56" fillId="3" fontId="5" numFmtId="0" xfId="0" applyAlignment="1" applyBorder="1" applyFont="1">
      <alignment horizontal="center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11" fontId="9" numFmtId="0" xfId="0" applyAlignment="1" applyFont="1">
      <alignment horizontal="center" shrinkToFit="0" vertical="center" wrapText="0"/>
    </xf>
    <xf borderId="0" fillId="6" fontId="5" numFmtId="0" xfId="0" applyAlignment="1" applyFont="1">
      <alignment horizontal="center" shrinkToFit="0" textRotation="0" vertical="center" wrapText="0"/>
    </xf>
    <xf borderId="0" fillId="2" fontId="6" numFmtId="0" xfId="0" applyAlignment="1" applyFont="1">
      <alignment horizontal="center" readingOrder="0" shrinkToFit="0" vertical="center" wrapText="0"/>
    </xf>
    <xf borderId="0" fillId="14" fontId="6" numFmtId="165" xfId="0" applyAlignment="1" applyFont="1" applyNumberFormat="1">
      <alignment horizontal="center" readingOrder="0" shrinkToFit="0" vertical="center" wrapText="0"/>
    </xf>
    <xf borderId="0" fillId="14" fontId="6" numFmtId="0" xfId="0" applyAlignment="1" applyFont="1">
      <alignment horizontal="center" readingOrder="0" shrinkToFit="0" vertical="center" wrapText="0"/>
    </xf>
    <xf borderId="0" fillId="11" fontId="8" numFmtId="0" xfId="0" applyAlignment="1" applyFont="1">
      <alignment horizontal="center" shrinkToFit="0" vertical="center" wrapText="0"/>
    </xf>
    <xf borderId="49" fillId="12" fontId="5" numFmtId="0" xfId="0" applyAlignment="1" applyBorder="1" applyFont="1">
      <alignment horizontal="center" readingOrder="0" shrinkToFit="0" textRotation="0" vertical="center" wrapText="1"/>
    </xf>
    <xf borderId="49" fillId="12" fontId="6" numFmtId="0" xfId="0" applyAlignment="1" applyBorder="1" applyFont="1">
      <alignment horizontal="center" readingOrder="0" shrinkToFit="0" textRotation="0" vertical="center" wrapText="1"/>
    </xf>
    <xf borderId="4" fillId="4" fontId="2" numFmtId="0" xfId="0" applyAlignment="1" applyBorder="1" applyFont="1">
      <alignment horizontal="left" readingOrder="0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4" fillId="4" fontId="2" numFmtId="165" xfId="0" applyAlignment="1" applyBorder="1" applyFont="1" applyNumberForma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0"/>
    </xf>
    <xf borderId="4" fillId="4" fontId="2" numFmtId="165" xfId="0" applyAlignment="1" applyBorder="1" applyFont="1" applyNumberFormat="1">
      <alignment horizontal="center" readingOrder="0" shrinkToFit="0" vertical="center" wrapText="0"/>
    </xf>
    <xf borderId="4" fillId="4" fontId="8" numFmtId="0" xfId="0" applyAlignment="1" applyBorder="1" applyFont="1">
      <alignment horizontal="left" readingOrder="0" shrinkToFit="0" vertical="center" wrapText="1"/>
    </xf>
    <xf borderId="4" fillId="4" fontId="8" numFmtId="1" xfId="0" applyAlignment="1" applyBorder="1" applyFont="1" applyNumberFormat="1">
      <alignment horizontal="center" shrinkToFit="0" vertical="center" wrapText="1"/>
    </xf>
    <xf borderId="4" fillId="4" fontId="8" numFmtId="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26" fillId="4" fontId="8" numFmtId="164" xfId="0" applyAlignment="1" applyBorder="1" applyFont="1" applyNumberFormat="1">
      <alignment horizontal="center" shrinkToFit="0" textRotation="90" vertical="center" wrapText="1"/>
    </xf>
    <xf borderId="36" fillId="11" fontId="5" numFmtId="0" xfId="0" applyAlignment="1" applyBorder="1" applyFont="1">
      <alignment horizontal="center" readingOrder="0" shrinkToFit="0" vertical="center" wrapText="1"/>
    </xf>
    <xf borderId="39" fillId="11" fontId="5" numFmtId="0" xfId="0" applyAlignment="1" applyBorder="1" applyFont="1">
      <alignment horizontal="left" readingOrder="0" shrinkToFit="0" vertical="center" wrapText="1"/>
    </xf>
    <xf borderId="51" fillId="3" fontId="5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left" readingOrder="0" shrinkToFit="0" vertical="center" wrapText="1"/>
    </xf>
    <xf borderId="38" fillId="3" fontId="8" numFmtId="0" xfId="0" applyAlignment="1" applyBorder="1" applyFont="1">
      <alignment horizontal="left" readingOrder="0" shrinkToFit="0" vertical="center" wrapText="1"/>
    </xf>
    <xf borderId="53" fillId="3" fontId="8" numFmtId="0" xfId="0" applyAlignment="1" applyBorder="1" applyFont="1">
      <alignment horizontal="left" readingOrder="0" shrinkToFit="0" vertical="center" wrapText="1"/>
    </xf>
    <xf borderId="45" fillId="3" fontId="8" numFmtId="0" xfId="0" applyAlignment="1" applyBorder="1" applyFont="1">
      <alignment horizontal="left" readingOrder="0" shrinkToFit="0" vertical="center" wrapText="1"/>
    </xf>
    <xf borderId="50" fillId="3" fontId="2" numFmtId="0" xfId="0" applyAlignment="1" applyBorder="1" applyFont="1">
      <alignment horizontal="center" readingOrder="0" shrinkToFit="0" vertical="center" wrapText="0"/>
    </xf>
    <xf borderId="50" fillId="3" fontId="9" numFmtId="0" xfId="0" applyAlignment="1" applyBorder="1" applyFon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51" fillId="3" fontId="6" numFmtId="165" xfId="0" applyAlignment="1" applyBorder="1" applyFont="1" applyNumberFormat="1">
      <alignment horizontal="center" readingOrder="0" shrinkToFit="0" vertical="center" wrapText="0"/>
    </xf>
    <xf borderId="58" fillId="0" fontId="3" numFmtId="0" xfId="0" applyBorder="1" applyFont="1"/>
    <xf borderId="23" fillId="17" fontId="2" numFmtId="0" xfId="0" applyAlignment="1" applyBorder="1" applyFill="1" applyFont="1">
      <alignment horizontal="center" readingOrder="0" shrinkToFit="0" vertical="center" wrapText="1"/>
    </xf>
    <xf borderId="26" fillId="17" fontId="2" numFmtId="0" xfId="0" applyAlignment="1" applyBorder="1" applyFont="1">
      <alignment horizontal="right" readingOrder="0" shrinkToFit="0" textRotation="90" vertical="center" wrapText="1"/>
    </xf>
    <xf borderId="26" fillId="17" fontId="2" numFmtId="164" xfId="0" applyAlignment="1" applyBorder="1" applyFont="1" applyNumberFormat="1">
      <alignment horizontal="center" readingOrder="0" shrinkToFit="0" textRotation="90" vertical="center" wrapText="1"/>
    </xf>
    <xf borderId="59" fillId="18" fontId="5" numFmtId="0" xfId="0" applyAlignment="1" applyBorder="1" applyFill="1" applyFont="1">
      <alignment horizontal="right" readingOrder="0" shrinkToFit="0" textRotation="0" vertical="center" wrapText="1"/>
    </xf>
    <xf borderId="60" fillId="0" fontId="3" numFmtId="0" xfId="0" applyBorder="1" applyFont="1"/>
    <xf borderId="61" fillId="0" fontId="3" numFmtId="0" xfId="0" applyBorder="1" applyFont="1"/>
    <xf borderId="59" fillId="19" fontId="12" numFmtId="0" xfId="0" applyAlignment="1" applyBorder="1" applyFill="1" applyFont="1">
      <alignment horizontal="center" readingOrder="0" shrinkToFit="0" textRotation="0" vertical="center" wrapText="1"/>
    </xf>
    <xf borderId="59" fillId="19" fontId="2" numFmtId="0" xfId="0" applyAlignment="1" applyBorder="1" applyFont="1">
      <alignment horizontal="center" readingOrder="0" shrinkToFit="0" textRotation="0" vertical="center" wrapText="1"/>
    </xf>
    <xf borderId="1" fillId="13" fontId="5" numFmtId="0" xfId="0" applyAlignment="1" applyBorder="1" applyFont="1">
      <alignment horizontal="center" shrinkToFit="0" vertical="center" wrapText="0"/>
    </xf>
    <xf borderId="1" fillId="13" fontId="5" numFmtId="165" xfId="0" applyAlignment="1" applyBorder="1" applyFont="1" applyNumberFormat="1">
      <alignment horizontal="center" readingOrder="0" shrinkToFit="0" vertical="center" wrapText="0"/>
    </xf>
    <xf borderId="1" fillId="13" fontId="5" numFmtId="165" xfId="0" applyAlignment="1" applyBorder="1" applyFont="1" applyNumberFormat="1">
      <alignment horizontal="center" shrinkToFit="0" vertical="center" wrapText="0"/>
    </xf>
    <xf borderId="12" fillId="20" fontId="5" numFmtId="0" xfId="0" applyAlignment="1" applyBorder="1" applyFill="1" applyFont="1">
      <alignment horizontal="center" readingOrder="0" shrinkToFit="0" vertical="center" wrapText="0"/>
    </xf>
    <xf borderId="12" fillId="20" fontId="5" numFmtId="1" xfId="0" applyAlignment="1" applyBorder="1" applyFont="1" applyNumberFormat="1">
      <alignment horizontal="center" readingOrder="0" shrinkToFit="0" vertical="center" wrapText="1"/>
    </xf>
    <xf borderId="15" fillId="21" fontId="5" numFmtId="0" xfId="0" applyAlignment="1" applyBorder="1" applyFill="1" applyFont="1">
      <alignment horizontal="center" readingOrder="0" shrinkToFit="0" vertical="center" wrapText="0"/>
    </xf>
    <xf borderId="15" fillId="21" fontId="5" numFmtId="0" xfId="0" applyAlignment="1" applyBorder="1" applyFont="1">
      <alignment horizontal="center" shrinkToFit="0" vertical="center" wrapText="0"/>
    </xf>
    <xf borderId="62" fillId="22" fontId="5" numFmtId="0" xfId="0" applyAlignment="1" applyBorder="1" applyFill="1" applyFont="1">
      <alignment horizontal="center" readingOrder="0" shrinkToFit="0" vertical="center" wrapText="1"/>
    </xf>
    <xf borderId="63" fillId="0" fontId="3" numFmtId="0" xfId="0" applyBorder="1" applyFont="1"/>
    <xf borderId="64" fillId="0" fontId="3" numFmtId="0" xfId="0" applyBorder="1" applyFont="1"/>
    <xf borderId="62" fillId="22" fontId="5" numFmtId="0" xfId="0" applyAlignment="1" applyBorder="1" applyFont="1">
      <alignment horizontal="center" readingOrder="0" shrinkToFit="0" vertical="bottom" wrapText="1"/>
    </xf>
    <xf borderId="65" fillId="22" fontId="5" numFmtId="164" xfId="0" applyAlignment="1" applyBorder="1" applyFont="1" applyNumberFormat="1">
      <alignment horizontal="center" shrinkToFit="0" textRotation="90" vertical="center" wrapText="1"/>
    </xf>
    <xf borderId="62" fillId="22" fontId="5" numFmtId="165" xfId="0" applyAlignment="1" applyBorder="1" applyFont="1" applyNumberFormat="1">
      <alignment horizontal="left" readingOrder="0" vertical="bottom"/>
    </xf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1" fillId="15" fontId="2" numFmtId="167" xfId="0" applyAlignment="1" applyBorder="1" applyFont="1" applyNumberFormat="1">
      <alignment horizontal="center" readingOrder="0" shrinkToFit="0" vertical="center" wrapText="1"/>
    </xf>
    <xf borderId="1" fillId="15" fontId="2" numFmtId="0" xfId="0" applyAlignment="1" applyBorder="1" applyFont="1">
      <alignment horizontal="left" shrinkToFit="0" vertical="center" wrapText="1"/>
    </xf>
    <xf borderId="1" fillId="23" fontId="12" numFmtId="0" xfId="0" applyAlignment="1" applyBorder="1" applyFill="1" applyFont="1">
      <alignment horizontal="center" shrinkToFit="0" vertical="center" wrapText="1"/>
    </xf>
    <xf borderId="1" fillId="23" fontId="12" numFmtId="0" xfId="0" applyAlignment="1" applyBorder="1" applyFont="1">
      <alignment horizontal="center" readingOrder="0" shrinkToFit="0" vertical="center" wrapText="1"/>
    </xf>
    <xf borderId="1" fillId="23" fontId="12" numFmtId="167" xfId="0" applyAlignment="1" applyBorder="1" applyFont="1" applyNumberFormat="1">
      <alignment horizontal="center" shrinkToFit="0" vertical="center" wrapText="1"/>
    </xf>
    <xf borderId="1" fillId="23" fontId="12" numFmtId="1" xfId="0" applyAlignment="1" applyBorder="1" applyFont="1" applyNumberFormat="1">
      <alignment horizontal="center" shrinkToFit="0" vertical="center" wrapText="1"/>
    </xf>
    <xf borderId="1" fillId="23" fontId="12" numFmtId="166" xfId="0" applyAlignment="1" applyBorder="1" applyFont="1" applyNumberFormat="1">
      <alignment horizontal="center" shrinkToFit="0" vertical="center" wrapText="1"/>
    </xf>
    <xf borderId="12" fillId="24" fontId="2" numFmtId="0" xfId="0" applyAlignment="1" applyBorder="1" applyFill="1" applyFont="1">
      <alignment horizontal="left" readingOrder="0" shrinkToFit="0" vertical="center" wrapText="1"/>
    </xf>
    <xf borderId="12" fillId="25" fontId="12" numFmtId="1" xfId="0" applyAlignment="1" applyBorder="1" applyFill="1" applyFont="1" applyNumberFormat="1">
      <alignment horizontal="center" shrinkToFit="0" vertical="center" wrapText="1"/>
    </xf>
    <xf borderId="15" fillId="26" fontId="2" numFmtId="0" xfId="0" applyAlignment="1" applyBorder="1" applyFill="1" applyFont="1">
      <alignment horizontal="right" readingOrder="0" shrinkToFit="0" vertical="center" wrapText="1"/>
    </xf>
    <xf borderId="15" fillId="27" fontId="12" numFmtId="167" xfId="0" applyAlignment="1" applyBorder="1" applyFill="1" applyFont="1" applyNumberFormat="1">
      <alignment horizontal="left" shrinkToFit="0" vertical="center" wrapText="1"/>
    </xf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7" fillId="18" fontId="5" numFmtId="0" xfId="0" applyAlignment="1" applyBorder="1" applyFont="1">
      <alignment horizontal="right" readingOrder="0" textRotation="0" vertical="center"/>
    </xf>
    <xf borderId="7" fillId="19" fontId="12" numFmtId="165" xfId="0" applyAlignment="1" applyBorder="1" applyFont="1" applyNumberFormat="1">
      <alignment horizontal="center" readingOrder="0" shrinkToFit="0" textRotation="0" vertical="center" wrapText="1"/>
    </xf>
    <xf borderId="15" fillId="26" fontId="2" numFmtId="0" xfId="0" applyAlignment="1" applyBorder="1" applyFont="1">
      <alignment horizontal="right" shrinkToFit="0" vertical="center" wrapText="1"/>
    </xf>
    <xf borderId="7" fillId="28" fontId="5" numFmtId="0" xfId="0" applyAlignment="1" applyBorder="1" applyFill="1" applyFont="1">
      <alignment horizontal="center" readingOrder="0" vertical="center"/>
    </xf>
    <xf borderId="7" fillId="28" fontId="12" numFmtId="0" xfId="0" applyAlignment="1" applyBorder="1" applyFont="1">
      <alignment horizontal="center" readingOrder="0" vertical="center"/>
    </xf>
    <xf borderId="1" fillId="15" fontId="2" numFmtId="0" xfId="0" applyAlignment="1" applyBorder="1" applyFont="1">
      <alignment horizontal="left" readingOrder="0" shrinkToFit="0" vertical="center" wrapText="1"/>
    </xf>
    <xf borderId="12" fillId="24" fontId="2" numFmtId="0" xfId="0" applyAlignment="1" applyBorder="1" applyFont="1">
      <alignment horizontal="left" shrinkToFit="0" vertical="center" wrapText="1"/>
    </xf>
    <xf borderId="15" fillId="27" fontId="12" numFmtId="167" xfId="0" applyAlignment="1" applyBorder="1" applyFont="1" applyNumberFormat="1">
      <alignment horizontal="left" readingOrder="0" shrinkToFit="0" vertical="center" wrapText="1"/>
    </xf>
    <xf borderId="73" fillId="0" fontId="3" numFmtId="0" xfId="0" applyBorder="1" applyFont="1"/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4" fillId="29" fontId="2" numFmtId="0" xfId="0" applyAlignment="1" applyBorder="1" applyFill="1" applyFont="1">
      <alignment horizontal="left" shrinkToFit="0" vertical="center" wrapText="1"/>
    </xf>
    <xf borderId="77" fillId="30" fontId="12" numFmtId="0" xfId="0" applyAlignment="1" applyBorder="1" applyFill="1" applyFont="1">
      <alignment horizontal="center" readingOrder="0" shrinkToFit="0" vertical="center" wrapText="1"/>
    </xf>
    <xf borderId="7" fillId="18" fontId="5" numFmtId="0" xfId="0" applyAlignment="1" applyBorder="1" applyFont="1">
      <alignment horizontal="center" readingOrder="0" vertical="center"/>
    </xf>
    <xf borderId="78" fillId="18" fontId="5" numFmtId="0" xfId="0" applyAlignment="1" applyBorder="1" applyFont="1">
      <alignment horizontal="center" readingOrder="0" vertical="center"/>
    </xf>
    <xf borderId="7" fillId="19" fontId="12" numFmtId="0" xfId="0" applyAlignment="1" applyBorder="1" applyFont="1">
      <alignment horizontal="center" readingOrder="0" shrinkToFit="0" vertical="center" wrapText="1"/>
    </xf>
    <xf borderId="18" fillId="31" fontId="5" numFmtId="0" xfId="0" applyAlignment="1" applyBorder="1" applyFill="1" applyFont="1">
      <alignment horizontal="left" shrinkToFit="0" vertical="center" wrapText="1"/>
    </xf>
    <xf borderId="18" fillId="32" fontId="12" numFmtId="0" xfId="0" applyAlignment="1" applyBorder="1" applyFill="1" applyFont="1">
      <alignment horizontal="center" shrinkToFit="0" vertical="center" wrapText="1"/>
    </xf>
    <xf borderId="79" fillId="32" fontId="2" numFmtId="0" xfId="0" applyAlignment="1" applyBorder="1" applyFont="1">
      <alignment horizontal="center" readingOrder="0" shrinkToFit="0" vertical="center" wrapText="1"/>
    </xf>
    <xf borderId="79" fillId="32" fontId="2" numFmtId="0" xfId="0" applyAlignment="1" applyBorder="1" applyFont="1">
      <alignment horizontal="center" shrinkToFit="0" vertical="center" wrapText="1"/>
    </xf>
    <xf borderId="18" fillId="32" fontId="2" numFmtId="0" xfId="0" applyAlignment="1" applyBorder="1" applyFont="1">
      <alignment horizontal="center" shrinkToFit="0" vertical="center" wrapText="1"/>
    </xf>
    <xf borderId="62" fillId="9" fontId="11" numFmtId="165" xfId="0" applyAlignment="1" applyBorder="1" applyFont="1" applyNumberFormat="1">
      <alignment horizontal="left" shrinkToFit="0" vertical="center" wrapText="1"/>
    </xf>
    <xf borderId="4" fillId="29" fontId="2" numFmtId="0" xfId="0" applyAlignment="1" applyBorder="1" applyFont="1">
      <alignment horizontal="left" readingOrder="0" vertical="center"/>
    </xf>
    <xf borderId="7" fillId="28" fontId="5" numFmtId="165" xfId="0" applyAlignment="1" applyBorder="1" applyFont="1" applyNumberFormat="1">
      <alignment horizontal="center" vertical="center"/>
    </xf>
    <xf borderId="7" fillId="28" fontId="12" numFmtId="165" xfId="0" applyAlignment="1" applyBorder="1" applyFont="1" applyNumberFormat="1">
      <alignment horizontal="center" readingOrder="0" shrinkToFit="0" textRotation="0" vertical="center" wrapText="1"/>
    </xf>
    <xf borderId="18" fillId="32" fontId="2" numFmtId="0" xfId="0" applyAlignment="1" applyBorder="1" applyFont="1">
      <alignment horizontal="center" readingOrder="0" shrinkToFit="0" vertical="center" wrapText="1"/>
    </xf>
    <xf borderId="80" fillId="9" fontId="11" numFmtId="165" xfId="0" applyAlignment="1" applyBorder="1" applyFont="1" applyNumberFormat="1">
      <alignment horizontal="left" shrinkToFit="0" vertical="center" wrapText="1"/>
    </xf>
    <xf borderId="81" fillId="0" fontId="3" numFmtId="0" xfId="0" applyBorder="1" applyFont="1"/>
    <xf borderId="82" fillId="0" fontId="3" numFmtId="0" xfId="0" applyBorder="1" applyFont="1"/>
    <xf borderId="4" fillId="29" fontId="2" numFmtId="0" xfId="0" applyAlignment="1" applyBorder="1" applyFont="1">
      <alignment horizontal="left" readingOrder="0" shrinkToFit="0" vertical="center" wrapText="1"/>
    </xf>
    <xf borderId="7" fillId="28" fontId="12" numFmtId="165" xfId="0" applyAlignment="1" applyBorder="1" applyFont="1" applyNumberFormat="1">
      <alignment horizontal="center" shrinkToFit="0" vertical="center" wrapText="1"/>
    </xf>
    <xf borderId="1" fillId="23" fontId="12" numFmtId="167" xfId="0" applyAlignment="1" applyBorder="1" applyFont="1" applyNumberFormat="1">
      <alignment horizontal="center" readingOrder="0" vertical="center"/>
    </xf>
    <xf borderId="1" fillId="23" fontId="12" numFmtId="3" xfId="0" applyAlignment="1" applyBorder="1" applyFont="1" applyNumberFormat="1">
      <alignment horizontal="center" shrinkToFit="0" vertical="center" wrapText="1"/>
    </xf>
    <xf borderId="53" fillId="0" fontId="13" numFmtId="0" xfId="0" applyBorder="1" applyFont="1"/>
    <xf borderId="21" fillId="15" fontId="2" numFmtId="0" xfId="0" applyAlignment="1" applyBorder="1" applyFont="1">
      <alignment horizontal="left" readingOrder="0" shrinkToFit="0" vertical="center" wrapText="1"/>
    </xf>
    <xf borderId="21" fillId="23" fontId="12" numFmtId="167" xfId="0" applyAlignment="1" applyBorder="1" applyFont="1" applyNumberFormat="1">
      <alignment horizontal="center" shrinkToFit="0" vertical="center" wrapText="1"/>
    </xf>
    <xf borderId="1" fillId="23" fontId="12" numFmtId="167" xfId="0" applyAlignment="1" applyBorder="1" applyFont="1" applyNumberFormat="1">
      <alignment horizontal="center" readingOrder="0" shrinkToFit="0" vertical="center" wrapText="1"/>
    </xf>
    <xf borderId="1" fillId="23" fontId="12" numFmtId="1" xfId="0" applyAlignment="1" applyBorder="1" applyFont="1" applyNumberFormat="1">
      <alignment horizontal="center" vertical="center"/>
    </xf>
    <xf borderId="1" fillId="23" fontId="12" numFmtId="168" xfId="0" applyAlignment="1" applyBorder="1" applyFont="1" applyNumberFormat="1">
      <alignment horizontal="center" shrinkToFit="0" vertical="center" wrapText="1"/>
    </xf>
    <xf borderId="7" fillId="33" fontId="5" numFmtId="0" xfId="0" applyAlignment="1" applyBorder="1" applyFill="1" applyFont="1">
      <alignment horizontal="center" readingOrder="0" shrinkToFit="0" textRotation="0" vertical="center" wrapText="0"/>
    </xf>
    <xf borderId="37" fillId="3" fontId="6" numFmtId="0" xfId="0" applyAlignment="1" applyBorder="1" applyFont="1">
      <alignment horizontal="right" shrinkToFit="0" vertical="center" wrapText="1"/>
    </xf>
    <xf borderId="15" fillId="8" fontId="5" numFmtId="0" xfId="0" applyAlignment="1" applyBorder="1" applyFont="1">
      <alignment horizontal="right" readingOrder="0" shrinkToFit="0" vertical="center" wrapText="1"/>
    </xf>
    <xf borderId="15" fillId="8" fontId="5" numFmtId="165" xfId="0" applyAlignment="1" applyBorder="1" applyFont="1" applyNumberFormat="1">
      <alignment horizontal="left" shrinkToFit="0" vertical="center" wrapText="1"/>
    </xf>
    <xf borderId="18" fillId="31" fontId="5" numFmtId="0" xfId="0" applyAlignment="1" applyBorder="1" applyFont="1">
      <alignment horizontal="left" readingOrder="0" shrinkToFit="0" vertical="center" wrapText="1"/>
    </xf>
    <xf borderId="79" fillId="32" fontId="2" numFmtId="0" xfId="0" applyAlignment="1" applyBorder="1" applyFont="1">
      <alignment vertical="center"/>
    </xf>
    <xf borderId="79" fillId="32" fontId="2" numFmtId="0" xfId="0" applyAlignment="1" applyBorder="1" applyFont="1">
      <alignment readingOrder="0" vertical="center"/>
    </xf>
    <xf borderId="65" fillId="32" fontId="2" numFmtId="0" xfId="0" applyAlignment="1" applyBorder="1" applyFont="1">
      <alignment vertical="center"/>
    </xf>
    <xf borderId="62" fillId="32" fontId="2" numFmtId="0" xfId="0" applyAlignment="1" applyBorder="1" applyFont="1">
      <alignment vertical="center"/>
    </xf>
    <xf borderId="23" fillId="29" fontId="2" numFmtId="0" xfId="0" applyAlignment="1" applyBorder="1" applyFont="1">
      <alignment horizontal="left" readingOrder="0" shrinkToFit="0" vertical="center" wrapText="1"/>
    </xf>
    <xf borderId="26" fillId="30" fontId="12" numFmtId="165" xfId="0" applyAlignment="1" applyBorder="1" applyFont="1" applyNumberFormat="1">
      <alignment horizontal="center" readingOrder="0" shrinkToFit="0" textRotation="90" vertical="center" wrapText="1"/>
    </xf>
    <xf borderId="59" fillId="19" fontId="12" numFmtId="0" xfId="0" applyAlignment="1" applyBorder="1" applyFont="1">
      <alignment horizontal="center" readingOrder="0" vertical="center"/>
    </xf>
    <xf borderId="40" fillId="3" fontId="6" numFmtId="0" xfId="0" applyAlignment="1" applyBorder="1" applyFont="1">
      <alignment horizontal="right" shrinkToFit="0" vertical="center" wrapText="1"/>
    </xf>
    <xf borderId="45" fillId="3" fontId="6" numFmtId="0" xfId="0" applyAlignment="1" applyBorder="1" applyFont="1">
      <alignment horizontal="right" shrinkToFit="0" vertical="center" wrapText="1"/>
    </xf>
    <xf borderId="48" fillId="3" fontId="6" numFmtId="0" xfId="0" applyAlignment="1" applyBorder="1" applyFont="1">
      <alignment horizontal="right" shrinkToFit="0" vertical="center" wrapText="1"/>
    </xf>
    <xf borderId="45" fillId="3" fontId="9" numFmtId="0" xfId="0" applyAlignment="1" applyBorder="1" applyFont="1">
      <alignment horizontal="center" shrinkToFit="0" vertical="center" wrapText="0"/>
    </xf>
    <xf borderId="83" fillId="3" fontId="5" numFmtId="0" xfId="0" applyAlignment="1" applyBorder="1" applyFont="1">
      <alignment horizontal="left" readingOrder="0" shrinkToFit="0" vertical="center" wrapText="1"/>
    </xf>
    <xf borderId="84" fillId="0" fontId="3" numFmtId="0" xfId="0" applyBorder="1" applyFont="1"/>
    <xf borderId="83" fillId="3" fontId="10" numFmtId="167" xfId="0" applyAlignment="1" applyBorder="1" applyFont="1" applyNumberFormat="1">
      <alignment horizontal="left" vertical="center"/>
    </xf>
    <xf borderId="85" fillId="0" fontId="3" numFmtId="0" xfId="0" applyBorder="1" applyFont="1"/>
    <xf borderId="36" fillId="3" fontId="6" numFmtId="0" xfId="0" applyAlignment="1" applyBorder="1" applyFont="1">
      <alignment horizontal="right" shrinkToFit="0" vertical="center" wrapText="1"/>
    </xf>
    <xf borderId="18" fillId="9" fontId="5" numFmtId="0" xfId="0" applyAlignment="1" applyBorder="1" applyFont="1">
      <alignment horizontal="left" readingOrder="0" shrinkToFit="0" vertical="center" wrapText="1"/>
    </xf>
    <xf borderId="86" fillId="9" fontId="6" numFmtId="165" xfId="0" applyAlignment="1" applyBorder="1" applyFont="1" applyNumberFormat="1">
      <alignment horizontal="left" shrinkToFit="0" vertical="center" wrapText="1"/>
    </xf>
    <xf borderId="86" fillId="0" fontId="3" numFmtId="0" xfId="0" applyBorder="1" applyFont="1"/>
    <xf borderId="87" fillId="0" fontId="3" numFmtId="0" xfId="0" applyBorder="1" applyFont="1"/>
    <xf borderId="21" fillId="15" fontId="2" numFmtId="0" xfId="0" applyAlignment="1" applyBorder="1" applyFont="1">
      <alignment horizontal="left" shrinkToFit="0" vertical="center" wrapText="1"/>
    </xf>
    <xf borderId="7" fillId="19" fontId="12" numFmtId="0" xfId="0" applyAlignment="1" applyBorder="1" applyFont="1">
      <alignment horizontal="center" readingOrder="0" vertical="center"/>
    </xf>
    <xf borderId="1" fillId="23" fontId="12" numFmtId="3" xfId="0" applyAlignment="1" applyBorder="1" applyFont="1" applyNumberFormat="1">
      <alignment horizontal="center" readingOrder="0" shrinkToFit="0" vertical="center" wrapText="1"/>
    </xf>
    <xf borderId="88" fillId="0" fontId="3" numFmtId="0" xfId="0" applyBorder="1" applyFont="1"/>
    <xf borderId="7" fillId="18" fontId="5" numFmtId="0" xfId="0" applyAlignment="1" applyBorder="1" applyFont="1">
      <alignment horizontal="right" readingOrder="0" vertical="center"/>
    </xf>
    <xf borderId="78" fillId="18" fontId="5" numFmtId="0" xfId="0" applyAlignment="1" applyBorder="1" applyFont="1">
      <alignment horizontal="left" readingOrder="0" vertical="center"/>
    </xf>
    <xf borderId="7" fillId="19" fontId="12" numFmtId="0" xfId="0" applyAlignment="1" applyBorder="1" applyFont="1">
      <alignment horizontal="center" vertical="center"/>
    </xf>
    <xf borderId="39" fillId="3" fontId="9" numFmtId="0" xfId="0" applyAlignment="1" applyBorder="1" applyFont="1">
      <alignment horizontal="center" shrinkToFit="0" vertical="center" wrapText="0"/>
    </xf>
    <xf borderId="1" fillId="23" fontId="12" numFmtId="1" xfId="0" applyAlignment="1" applyBorder="1" applyFont="1" applyNumberFormat="1">
      <alignment horizontal="center" readingOrder="0" shrinkToFit="0" vertical="center" wrapText="1"/>
    </xf>
    <xf borderId="53" fillId="3" fontId="5" numFmtId="0" xfId="0" applyAlignment="1" applyBorder="1" applyFont="1">
      <alignment horizontal="center" vertical="center"/>
    </xf>
    <xf borderId="52" fillId="3" fontId="5" numFmtId="0" xfId="0" applyAlignment="1" applyBorder="1" applyFont="1">
      <alignment horizontal="center" vertical="center"/>
    </xf>
    <xf borderId="59" fillId="19" fontId="12" numFmtId="0" xfId="0" applyAlignment="1" applyBorder="1" applyFont="1">
      <alignment horizontal="center" readingOrder="0" shrinkToFit="0" textRotation="0" vertical="center" wrapText="1"/>
    </xf>
    <xf borderId="1" fillId="23" fontId="12" numFmtId="169" xfId="0" applyAlignment="1" applyBorder="1" applyFont="1" applyNumberFormat="1">
      <alignment horizontal="center" readingOrder="0" shrinkToFit="0" vertical="center" wrapText="1"/>
    </xf>
    <xf borderId="48" fillId="3" fontId="14" numFmtId="0" xfId="0" applyBorder="1" applyFont="1"/>
    <xf borderId="40" fillId="3" fontId="14" numFmtId="0" xfId="0" applyBorder="1" applyFont="1"/>
    <xf borderId="40" fillId="3" fontId="14" numFmtId="1" xfId="0" applyBorder="1" applyFont="1" applyNumberFormat="1"/>
    <xf borderId="40" fillId="3" fontId="14" numFmtId="165" xfId="0" applyAlignment="1" applyBorder="1" applyFont="1" applyNumberFormat="1">
      <alignment horizontal="left"/>
    </xf>
    <xf borderId="40" fillId="3" fontId="14" numFmtId="165" xfId="0" applyBorder="1" applyFont="1" applyNumberFormat="1"/>
    <xf borderId="0" fillId="14" fontId="14" numFmtId="0" xfId="0" applyFont="1"/>
    <xf borderId="0" fillId="14" fontId="14" numFmtId="1" xfId="0" applyFont="1" applyNumberFormat="1"/>
    <xf borderId="0" fillId="14" fontId="14" numFmtId="165" xfId="0" applyAlignment="1" applyFont="1" applyNumberFormat="1">
      <alignment horizontal="left"/>
    </xf>
    <xf borderId="0" fillId="14" fontId="14" numFmtId="165" xfId="0" applyFont="1" applyNumberFormat="1"/>
    <xf borderId="0" fillId="14" fontId="14" numFmtId="0" xfId="0" applyAlignment="1" applyFont="1">
      <alignment horizontal="center" shrinkToFit="0" vertical="center" wrapText="0"/>
    </xf>
    <xf borderId="0" fillId="6" fontId="5" numFmtId="0" xfId="0" applyAlignment="1" applyFont="1">
      <alignment horizontal="center" shrinkToFit="0" vertical="center" wrapText="0"/>
    </xf>
    <xf borderId="0" fillId="14" fontId="14" numFmtId="0" xfId="0" applyAlignment="1" applyFont="1">
      <alignment horizontal="center" shrinkToFit="0" vertical="center" wrapText="0"/>
    </xf>
    <xf borderId="0" fillId="6" fontId="5" numFmtId="0" xfId="0" applyAlignment="1" applyFont="1">
      <alignment horizontal="center" shrinkToFit="0" vertical="center" wrapText="0"/>
    </xf>
    <xf borderId="0" fillId="14" fontId="14" numFmtId="165" xfId="0" applyAlignment="1" applyFont="1" applyNumberFormat="1">
      <alignment horizontal="center" shrinkToFit="0" vertical="center" wrapText="0"/>
    </xf>
    <xf borderId="0" fillId="14" fontId="15" numFmtId="0" xfId="0" applyAlignment="1" applyFont="1">
      <alignment horizontal="center" readingOrder="0" shrinkToFit="0" textRotation="90" vertical="center" wrapText="1"/>
    </xf>
    <xf borderId="0" fillId="11" fontId="6" numFmtId="0" xfId="0" applyAlignment="1" applyFont="1">
      <alignment horizontal="center" readingOrder="0" shrinkToFit="0" textRotation="90" vertical="center" wrapText="1"/>
    </xf>
    <xf borderId="45" fillId="12" fontId="11" numFmtId="0" xfId="0" applyAlignment="1" applyBorder="1" applyFont="1">
      <alignment horizontal="center" shrinkToFit="0" vertical="center" wrapText="1"/>
    </xf>
    <xf borderId="48" fillId="12" fontId="11" numFmtId="0" xfId="0" applyAlignment="1" applyBorder="1" applyFont="1">
      <alignment horizontal="center" shrinkToFit="0" vertical="center" wrapText="1"/>
    </xf>
    <xf borderId="0" fillId="11" fontId="11" numFmtId="165" xfId="0" applyAlignment="1" applyFont="1" applyNumberFormat="1">
      <alignment horizontal="center" readingOrder="0" shrinkToFit="0" textRotation="90" vertical="center" wrapText="1"/>
    </xf>
    <xf borderId="50" fillId="11" fontId="10" numFmtId="0" xfId="0" applyAlignment="1" applyBorder="1" applyFont="1">
      <alignment horizontal="center" readingOrder="0" vertical="center"/>
    </xf>
    <xf borderId="52" fillId="12" fontId="11" numFmtId="165" xfId="0" applyAlignment="1" applyBorder="1" applyFont="1" applyNumberFormat="1">
      <alignment horizontal="center" shrinkToFit="0" textRotation="90" vertical="center" wrapText="1"/>
    </xf>
    <xf borderId="0" fillId="14" fontId="14" numFmtId="1" xfId="0" applyAlignment="1" applyFont="1" applyNumberFormat="1">
      <alignment horizontal="center" vertical="center"/>
    </xf>
    <xf borderId="0" fillId="11" fontId="11" numFmtId="0" xfId="0" applyAlignment="1" applyFont="1">
      <alignment horizontal="center" readingOrder="0" shrinkToFit="0" vertical="center" wrapText="1"/>
    </xf>
    <xf borderId="0" fillId="11" fontId="11" numFmtId="0" xfId="0" applyAlignment="1" applyFont="1">
      <alignment vertical="center"/>
    </xf>
    <xf borderId="0" fillId="11" fontId="11" numFmtId="0" xfId="0" applyAlignment="1" applyFont="1">
      <alignment horizontal="center" vertical="center"/>
    </xf>
    <xf borderId="0" fillId="11" fontId="13" numFmtId="0" xfId="0" applyFont="1"/>
    <xf borderId="0" fillId="11" fontId="15" numFmtId="0" xfId="0" applyAlignment="1" applyFont="1">
      <alignment horizontal="center" vertical="center"/>
    </xf>
    <xf borderId="37" fillId="14" fontId="14" numFmtId="1" xfId="0" applyAlignment="1" applyBorder="1" applyFont="1" applyNumberFormat="1">
      <alignment horizontal="center" vertical="center"/>
    </xf>
    <xf borderId="48" fillId="16" fontId="15" numFmtId="0" xfId="0" applyAlignment="1" applyBorder="1" applyFont="1">
      <alignment horizontal="center" vertical="center"/>
    </xf>
    <xf borderId="48" fillId="16" fontId="5" numFmtId="0" xfId="0" applyAlignment="1" applyBorder="1" applyFont="1">
      <alignment horizontal="center" vertical="center"/>
    </xf>
    <xf borderId="48" fillId="16" fontId="5" numFmtId="1" xfId="0" applyAlignment="1" applyBorder="1" applyFont="1" applyNumberFormat="1">
      <alignment horizontal="center" vertical="center"/>
    </xf>
    <xf borderId="48" fillId="3" fontId="14" numFmtId="1" xfId="0" applyAlignment="1" applyBorder="1" applyFont="1" applyNumberFormat="1">
      <alignment horizontal="center" vertical="center"/>
    </xf>
    <xf borderId="48" fillId="16" fontId="5" numFmtId="165" xfId="0" applyAlignment="1" applyBorder="1" applyFont="1" applyNumberFormat="1">
      <alignment horizontal="left" vertical="center"/>
    </xf>
    <xf borderId="48" fillId="16" fontId="5" numFmtId="165" xfId="0" applyAlignment="1" applyBorder="1" applyFont="1" applyNumberFormat="1">
      <alignment horizontal="center" vertical="center"/>
    </xf>
    <xf borderId="48" fillId="16" fontId="5" numFmtId="0" xfId="0" applyAlignment="1" applyBorder="1" applyFont="1">
      <alignment horizontal="center" shrinkToFit="0" vertical="center" wrapText="1"/>
    </xf>
    <xf borderId="0" fillId="11" fontId="15" numFmtId="0" xfId="0" applyAlignment="1" applyFont="1">
      <alignment horizontal="left" readingOrder="0" shrinkToFit="0" vertical="center" wrapText="1"/>
    </xf>
    <xf borderId="0" fillId="11" fontId="8" numFmtId="0" xfId="0" applyAlignment="1" applyFont="1">
      <alignment horizontal="left" readingOrder="0" shrinkToFit="0" vertical="center" wrapText="1"/>
    </xf>
    <xf borderId="0" fillId="11" fontId="8" numFmtId="1" xfId="0" applyAlignment="1" applyFont="1" applyNumberFormat="1">
      <alignment horizontal="center" readingOrder="0" shrinkToFit="0" vertical="center" wrapText="1"/>
    </xf>
    <xf borderId="0" fillId="11" fontId="8" numFmtId="165" xfId="0" applyAlignment="1" applyFont="1" applyNumberFormat="1">
      <alignment horizontal="left" readingOrder="0" shrinkToFit="0" vertical="center" wrapText="1"/>
    </xf>
    <xf borderId="0" fillId="11" fontId="6" numFmtId="0" xfId="0" applyAlignment="1" applyFont="1">
      <alignment horizontal="center" readingOrder="0" shrinkToFit="0" vertical="center" wrapText="1"/>
    </xf>
    <xf borderId="0" fillId="11" fontId="6" numFmtId="0" xfId="0" applyAlignment="1" applyFont="1">
      <alignment horizontal="left" readingOrder="0" shrinkToFit="0" vertical="center" wrapText="1"/>
    </xf>
    <xf borderId="0" fillId="14" fontId="15" numFmtId="0" xfId="0" applyAlignment="1" applyFont="1">
      <alignment horizontal="center" readingOrder="0" shrinkToFit="0" textRotation="90" vertical="center" wrapText="0"/>
    </xf>
    <xf borderId="0" fillId="11" fontId="6" numFmtId="0" xfId="0" applyAlignment="1" applyFont="1">
      <alignment horizontal="center" readingOrder="0" shrinkToFit="0" textRotation="90" vertical="center" wrapText="0"/>
    </xf>
    <xf borderId="36" fillId="12" fontId="6" numFmtId="0" xfId="0" applyAlignment="1" applyBorder="1" applyFont="1">
      <alignment horizontal="center" shrinkToFit="0" vertical="center" wrapText="1"/>
    </xf>
    <xf borderId="39" fillId="12" fontId="6" numFmtId="0" xfId="0" applyAlignment="1" applyBorder="1" applyFont="1">
      <alignment horizontal="center" readingOrder="0" shrinkToFit="0" vertical="center" wrapText="1"/>
    </xf>
    <xf borderId="39" fillId="12" fontId="6" numFmtId="0" xfId="0" applyAlignment="1" applyBorder="1" applyFont="1">
      <alignment horizontal="center" shrinkToFit="0" vertical="center" wrapText="1"/>
    </xf>
    <xf borderId="26" fillId="10" fontId="8" numFmtId="164" xfId="0" applyAlignment="1" applyBorder="1" applyFont="1" applyNumberFormat="1">
      <alignment horizontal="center" shrinkToFit="0" textRotation="90" vertical="center" wrapText="1"/>
    </xf>
    <xf borderId="39" fillId="11" fontId="11" numFmtId="165" xfId="0" applyAlignment="1" applyBorder="1" applyFont="1" applyNumberFormat="1">
      <alignment horizontal="center" vertical="center"/>
    </xf>
    <xf borderId="0" fillId="14" fontId="16" numFmtId="0" xfId="0" applyAlignment="1" applyFont="1">
      <alignment horizontal="center" readingOrder="0" shrinkToFit="0" textRotation="90" vertical="center" wrapText="1"/>
    </xf>
    <xf borderId="35" fillId="10" fontId="8" numFmtId="164" xfId="0" applyAlignment="1" applyBorder="1" applyFont="1" applyNumberFormat="1">
      <alignment horizontal="center" shrinkToFit="0" textRotation="90" vertical="center" wrapText="1"/>
    </xf>
    <xf borderId="35" fillId="10" fontId="8" numFmtId="164" xfId="0" applyAlignment="1" applyBorder="1" applyFont="1" applyNumberFormat="1">
      <alignment horizontal="center" readingOrder="0" shrinkToFit="0" textRotation="90" vertical="center" wrapText="1"/>
    </xf>
    <xf borderId="31" fillId="4" fontId="8" numFmtId="0" xfId="0" applyAlignment="1" applyBorder="1" applyFont="1">
      <alignment horizontal="center" shrinkToFit="0" vertical="center" wrapText="1"/>
    </xf>
    <xf borderId="4" fillId="4" fontId="8" numFmtId="165" xfId="0" applyAlignment="1" applyBorder="1" applyFont="1" applyNumberFormat="1">
      <alignment horizontal="center" shrinkToFit="0" vertical="center" wrapText="1"/>
    </xf>
    <xf borderId="32" fillId="4" fontId="8" numFmtId="165" xfId="0" applyAlignment="1" applyBorder="1" applyFont="1" applyNumberFormat="1">
      <alignment horizontal="center" shrinkToFit="0" vertical="center" wrapText="1"/>
    </xf>
    <xf borderId="35" fillId="4" fontId="8" numFmtId="164" xfId="0" applyAlignment="1" applyBorder="1" applyFont="1" applyNumberFormat="1">
      <alignment horizontal="center" shrinkToFit="0" textRotation="90" vertical="center" wrapText="1"/>
    </xf>
    <xf borderId="39" fillId="12" fontId="6" numFmtId="165" xfId="0" applyAlignment="1" applyBorder="1" applyFont="1" applyNumberFormat="1">
      <alignment horizontal="center" readingOrder="0" vertical="center"/>
    </xf>
    <xf borderId="0" fillId="14" fontId="10" numFmtId="0" xfId="0" applyAlignment="1" applyFont="1">
      <alignment horizontal="center" vertical="center"/>
    </xf>
    <xf borderId="0" fillId="14" fontId="10" numFmtId="0" xfId="0" applyAlignment="1" applyFont="1">
      <alignment horizontal="center" readingOrder="0" vertical="center"/>
    </xf>
    <xf borderId="48" fillId="16" fontId="10" numFmtId="0" xfId="0" applyAlignment="1" applyBorder="1" applyFont="1">
      <alignment horizontal="center" readingOrder="0" vertical="center"/>
    </xf>
    <xf borderId="0" fillId="14" fontId="10" numFmtId="0" xfId="0" applyAlignment="1" applyFont="1">
      <alignment horizontal="right" vertical="bottom"/>
    </xf>
    <xf borderId="0" fillId="14" fontId="5" numFmtId="0" xfId="0" applyAlignment="1" applyFont="1">
      <alignment horizontal="center" readingOrder="0" textRotation="90" vertical="center"/>
    </xf>
    <xf borderId="89" fillId="14" fontId="10" numFmtId="0" xfId="0" applyAlignment="1" applyBorder="1" applyFont="1">
      <alignment horizontal="right" vertical="bottom"/>
    </xf>
    <xf borderId="90" fillId="0" fontId="3" numFmtId="0" xfId="0" applyBorder="1" applyFont="1"/>
    <xf borderId="91" fillId="0" fontId="3" numFmtId="0" xfId="0" applyBorder="1" applyFont="1"/>
    <xf borderId="92" fillId="14" fontId="10" numFmtId="164" xfId="0" applyAlignment="1" applyBorder="1" applyFont="1" applyNumberFormat="1">
      <alignment readingOrder="0" textRotation="90" vertical="bottom"/>
    </xf>
    <xf borderId="0" fillId="34" fontId="8" numFmtId="0" xfId="0" applyAlignment="1" applyFill="1" applyFont="1">
      <alignment horizontal="center" textRotation="90"/>
    </xf>
    <xf borderId="48" fillId="16" fontId="8" numFmtId="0" xfId="0" applyAlignment="1" applyBorder="1" applyFont="1">
      <alignment horizontal="center" textRotation="90"/>
    </xf>
    <xf borderId="0" fillId="14" fontId="5" numFmtId="0" xfId="0" applyAlignment="1" applyFont="1">
      <alignment horizontal="right" readingOrder="0" textRotation="90" vertical="bottom"/>
    </xf>
    <xf borderId="92" fillId="14" fontId="5" numFmtId="0" xfId="0" applyAlignment="1" applyBorder="1" applyFont="1">
      <alignment horizontal="center" readingOrder="0" vertical="bottom"/>
    </xf>
    <xf borderId="92" fillId="35" fontId="5" numFmtId="0" xfId="0" applyAlignment="1" applyBorder="1" applyFill="1" applyFont="1">
      <alignment horizontal="center" readingOrder="0" vertical="bottom"/>
    </xf>
    <xf borderId="89" fillId="36" fontId="8" numFmtId="0" xfId="0" applyAlignment="1" applyBorder="1" applyFill="1" applyFont="1">
      <alignment horizontal="right" readingOrder="0" vertical="bottom"/>
    </xf>
    <xf borderId="92" fillId="10" fontId="4" numFmtId="0" xfId="0" applyAlignment="1" applyBorder="1" applyFont="1">
      <alignment readingOrder="0"/>
    </xf>
    <xf borderId="0" fillId="34" fontId="8" numFmtId="0" xfId="0" applyAlignment="1" applyFont="1">
      <alignment horizontal="center" vertical="bottom"/>
    </xf>
    <xf borderId="48" fillId="16" fontId="8" numFmtId="0" xfId="0" applyAlignment="1" applyBorder="1" applyFont="1">
      <alignment horizontal="center" vertical="bottom"/>
    </xf>
    <xf borderId="48" fillId="16" fontId="10" numFmtId="0" xfId="0" applyAlignment="1" applyBorder="1" applyFont="1">
      <alignment horizontal="right" vertical="bottom"/>
    </xf>
    <xf borderId="0" fillId="4" fontId="2" numFmtId="0" xfId="0" applyAlignment="1" applyFont="1">
      <alignment horizontal="right" shrinkToFit="0" vertical="center" wrapText="0"/>
    </xf>
    <xf borderId="49" fillId="4" fontId="2" numFmtId="0" xfId="0" applyAlignment="1" applyBorder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49" fillId="2" fontId="5" numFmtId="166" xfId="0" applyAlignment="1" applyBorder="1" applyFont="1" applyNumberFormat="1">
      <alignment horizontal="center" shrinkToFit="0" vertical="center" wrapText="0"/>
    </xf>
    <xf borderId="49" fillId="2" fontId="5" numFmtId="1" xfId="0" applyAlignment="1" applyBorder="1" applyFont="1" applyNumberFormat="1">
      <alignment horizontal="center" shrinkToFit="0" vertical="center" wrapText="0"/>
    </xf>
    <xf borderId="49" fillId="6" fontId="5" numFmtId="0" xfId="0" applyAlignment="1" applyBorder="1" applyFon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0"/>
    </xf>
    <xf borderId="0" fillId="11" fontId="6" numFmtId="0" xfId="0" applyAlignment="1" applyFont="1">
      <alignment horizontal="right" shrinkToFit="0" vertical="center" wrapText="0"/>
    </xf>
    <xf borderId="29" fillId="11" fontId="6" numFmtId="0" xfId="0" applyAlignment="1" applyBorder="1" applyFont="1">
      <alignment horizontal="center" shrinkToFit="0" vertical="center" wrapText="0"/>
    </xf>
    <xf borderId="0" fillId="11" fontId="6" numFmtId="0" xfId="0" applyAlignment="1" applyFont="1">
      <alignment horizontal="center" shrinkToFit="0" vertical="center" wrapText="0"/>
    </xf>
    <xf borderId="29" fillId="11" fontId="6" numFmtId="166" xfId="0" applyAlignment="1" applyBorder="1" applyFont="1" applyNumberFormat="1">
      <alignment horizontal="center" shrinkToFit="0" vertical="center" wrapText="0"/>
    </xf>
    <xf borderId="29" fillId="11" fontId="6" numFmtId="1" xfId="0" applyAlignment="1" applyBorder="1" applyFont="1" applyNumberFormat="1">
      <alignment horizontal="center" shrinkToFit="0" vertical="center" wrapText="0"/>
    </xf>
    <xf borderId="0" fillId="11" fontId="6" numFmtId="1" xfId="0" applyAlignment="1" applyFont="1" applyNumberFormat="1">
      <alignment horizontal="center" shrinkToFit="0" vertical="center" wrapText="0"/>
    </xf>
    <xf borderId="30" fillId="11" fontId="6" numFmtId="0" xfId="0" applyAlignment="1" applyBorder="1" applyFont="1">
      <alignment horizontal="center" shrinkToFit="0" vertical="center" wrapText="0"/>
    </xf>
    <xf borderId="0" fillId="11" fontId="6" numFmtId="0" xfId="0" applyAlignment="1" applyFont="1">
      <alignment horizontal="right" readingOrder="0" shrinkToFit="0" vertical="center" wrapText="0"/>
    </xf>
    <xf borderId="29" fillId="11" fontId="6" numFmtId="165" xfId="0" applyAlignment="1" applyBorder="1" applyFont="1" applyNumberFormat="1">
      <alignment horizontal="center" shrinkToFit="0" vertical="center" wrapText="0"/>
    </xf>
    <xf borderId="0" fillId="11" fontId="6" numFmtId="165" xfId="0" applyAlignment="1" applyFont="1" applyNumberFormat="1">
      <alignment horizontal="center" shrinkToFit="0" vertical="center" wrapText="0"/>
    </xf>
    <xf borderId="0" fillId="11" fontId="6" numFmtId="166" xfId="0" applyAlignment="1" applyFont="1" applyNumberFormat="1">
      <alignment horizontal="center" shrinkToFit="0" vertical="center" wrapText="0"/>
    </xf>
    <xf borderId="0" fillId="34" fontId="6" numFmtId="0" xfId="0" applyAlignment="1" applyFont="1">
      <alignment horizontal="right" shrinkToFit="0" vertical="center" wrapText="0"/>
    </xf>
    <xf borderId="0" fillId="34" fontId="6" numFmtId="0" xfId="0" applyAlignment="1" applyFont="1">
      <alignment horizontal="center" shrinkToFit="0" vertical="center" wrapText="0"/>
    </xf>
    <xf borderId="0" fillId="2" fontId="6" numFmtId="166" xfId="0" applyAlignment="1" applyFont="1" applyNumberFormat="1">
      <alignment horizontal="center" shrinkToFit="0" vertical="center" wrapText="0"/>
    </xf>
    <xf borderId="0" fillId="2" fontId="6" numFmtId="1" xfId="0" applyAlignment="1" applyFont="1" applyNumberFormat="1">
      <alignment horizontal="center" shrinkToFit="0" vertical="center" wrapText="0"/>
    </xf>
    <xf borderId="0" fillId="2" fontId="6" numFmtId="0" xfId="0" applyAlignment="1" applyFont="1">
      <alignment horizontal="center" shrinkToFit="0" vertical="center" wrapText="0"/>
    </xf>
    <xf borderId="29" fillId="11" fontId="6" numFmtId="170" xfId="0" applyAlignment="1" applyBorder="1" applyFont="1" applyNumberFormat="1">
      <alignment horizontal="center" shrinkToFit="0" vertical="center" wrapText="0"/>
    </xf>
    <xf borderId="29" fillId="11" fontId="6" numFmtId="3" xfId="0" applyAlignment="1" applyBorder="1" applyFont="1" applyNumberFormat="1">
      <alignment horizontal="center" shrinkToFit="0" vertical="center" wrapText="0"/>
    </xf>
    <xf borderId="0" fillId="2" fontId="6" numFmtId="0" xfId="0" applyAlignment="1" applyFont="1">
      <alignment horizontal="right" shrinkToFit="0" vertical="center" wrapText="0"/>
    </xf>
    <xf borderId="0" fillId="2" fontId="17" numFmtId="0" xfId="0" applyAlignment="1" applyFont="1">
      <alignment horizontal="center" vertical="center"/>
    </xf>
    <xf borderId="0" fillId="11" fontId="18" numFmtId="0" xfId="0" applyAlignment="1" applyFont="1">
      <alignment horizontal="center" vertical="center"/>
    </xf>
    <xf borderId="30" fillId="11" fontId="6" numFmtId="1" xfId="0" applyAlignment="1" applyBorder="1" applyFont="1" applyNumberFormat="1">
      <alignment horizontal="center" shrinkToFit="0" vertical="center" wrapText="0"/>
    </xf>
    <xf borderId="29" fillId="11" fontId="5" numFmtId="0" xfId="0" applyAlignment="1" applyBorder="1" applyFont="1">
      <alignment horizontal="center" readingOrder="0" shrinkToFit="0" vertical="center" wrapText="0"/>
    </xf>
    <xf borderId="0" fillId="11" fontId="5" numFmtId="0" xfId="0" applyAlignment="1" applyFont="1">
      <alignment horizontal="right" readingOrder="0" shrinkToFit="0" vertical="center" wrapText="0"/>
    </xf>
    <xf borderId="0" fillId="2" fontId="6" numFmtId="0" xfId="0" applyAlignment="1" applyFont="1">
      <alignment horizontal="center" vertical="center"/>
    </xf>
    <xf borderId="0" fillId="2" fontId="6" numFmtId="1" xfId="0" applyAlignment="1" applyFont="1" applyNumberFormat="1">
      <alignment horizontal="center" vertical="center"/>
    </xf>
    <xf borderId="0" fillId="11" fontId="6" numFmtId="166" xfId="0" applyAlignment="1" applyFont="1" applyNumberFormat="1">
      <alignment horizontal="right" shrinkToFit="0" vertical="center" wrapText="0"/>
    </xf>
    <xf borderId="29" fillId="11" fontId="2" numFmtId="0" xfId="0" applyAlignment="1" applyBorder="1" applyFont="1">
      <alignment horizontal="center" vertical="center"/>
    </xf>
    <xf borderId="0" fillId="11" fontId="2" numFmtId="0" xfId="0" applyAlignment="1" applyFont="1">
      <alignment horizontal="center" vertical="center"/>
    </xf>
    <xf borderId="0" fillId="11" fontId="8" numFmtId="1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Дмитрий" id="{ff8b32c8-e1d3-4efc-9700-6a45993a3b5d}" providerId="google-sheets"/>
  <x18tc:person displayName="irish4kanistra@gmail.com" id="{2dfb6738-d3c0-4bdd-ac23-21d2a34bf69e}" userId="irish4kanistra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T38" dT="2023-01-14T16:07:03.00" personId="{ff8b32c8-e1d3-4efc-9700-6a45993a3b5d}" id="{e72fc6d5-6ed3-4d80-99d3-9e11733c690b}" done="1">
    <x18tc:text xml:space="preserve">@irish4kanistra@gmail.com 
KPI
За кол-во оплаченных тестов - 10 000 р.
За кол-во заключенных договоров - 2 500 р.
За сумму продаж - 2 500 р.
Премия		
С проданного теста - 20%
С заключенного договора на мес. ведение - 15%
С клиента оставшегося на 2й месяц - 10%
С клиента оставшегося на 3й месяц - 5%		
Бонус
За выполнение командного плана - 10 000 р.</x18tc:text>
    <x18tc:mentions>
      <x18tc:mention mentionpersonId="{2dfb6738-d3c0-4bdd-ac23-21d2a34bf69e}" mentionId="{57b2f3d6-98ea-49a9-b7e5-41c6a8ac2676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18" width="2.63"/>
  </cols>
  <sheetData>
    <row r="1" ht="15.0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/>
      <c r="AT1" s="8" t="s">
        <v>1</v>
      </c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10"/>
      <c r="CQ1" s="7"/>
      <c r="CR1" s="11" t="s">
        <v>2</v>
      </c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3"/>
      <c r="DZ1" s="7"/>
      <c r="EA1" s="14" t="s">
        <v>3</v>
      </c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6"/>
      <c r="ES1" s="7"/>
      <c r="ET1" s="17" t="s">
        <v>4</v>
      </c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9"/>
      <c r="FM1" s="7"/>
      <c r="FN1" s="20" t="s">
        <v>5</v>
      </c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2"/>
      <c r="HJ1" s="7"/>
    </row>
    <row r="2" ht="15.0" customHeight="1">
      <c r="A2" s="23" t="s">
        <v>6</v>
      </c>
      <c r="B2" s="24"/>
      <c r="C2" s="25"/>
      <c r="D2" s="26" t="s">
        <v>7</v>
      </c>
      <c r="E2" s="27"/>
      <c r="F2" s="27"/>
      <c r="G2" s="27"/>
      <c r="H2" s="27"/>
      <c r="I2" s="27"/>
      <c r="J2" s="27"/>
      <c r="K2" s="27"/>
      <c r="L2" s="28"/>
      <c r="M2" s="29" t="s">
        <v>8</v>
      </c>
      <c r="N2" s="30">
        <v>44866.0</v>
      </c>
      <c r="O2" s="30">
        <v>44867.0</v>
      </c>
      <c r="P2" s="30">
        <v>44868.0</v>
      </c>
      <c r="Q2" s="30">
        <v>44869.0</v>
      </c>
      <c r="R2" s="30">
        <v>44870.0</v>
      </c>
      <c r="S2" s="30">
        <v>44871.0</v>
      </c>
      <c r="T2" s="30">
        <v>44872.0</v>
      </c>
      <c r="U2" s="30">
        <v>44873.0</v>
      </c>
      <c r="V2" s="30">
        <v>44874.0</v>
      </c>
      <c r="W2" s="30">
        <v>44875.0</v>
      </c>
      <c r="X2" s="30">
        <v>44876.0</v>
      </c>
      <c r="Y2" s="30">
        <v>44877.0</v>
      </c>
      <c r="Z2" s="30">
        <v>44878.0</v>
      </c>
      <c r="AA2" s="30">
        <v>44879.0</v>
      </c>
      <c r="AB2" s="30">
        <v>44880.0</v>
      </c>
      <c r="AC2" s="30">
        <v>44881.0</v>
      </c>
      <c r="AD2" s="30">
        <v>44882.0</v>
      </c>
      <c r="AE2" s="30">
        <v>44883.0</v>
      </c>
      <c r="AF2" s="30">
        <v>44884.0</v>
      </c>
      <c r="AG2" s="30">
        <v>44885.0</v>
      </c>
      <c r="AH2" s="30">
        <v>44886.0</v>
      </c>
      <c r="AI2" s="30">
        <v>44887.0</v>
      </c>
      <c r="AJ2" s="30">
        <v>44888.0</v>
      </c>
      <c r="AK2" s="30">
        <v>44889.0</v>
      </c>
      <c r="AL2" s="30">
        <v>44890.0</v>
      </c>
      <c r="AM2" s="30">
        <v>44891.0</v>
      </c>
      <c r="AN2" s="30">
        <v>44892.0</v>
      </c>
      <c r="AO2" s="30">
        <v>44893.0</v>
      </c>
      <c r="AP2" s="30">
        <v>44894.0</v>
      </c>
      <c r="AQ2" s="30">
        <v>44895.0</v>
      </c>
      <c r="AR2" s="30"/>
      <c r="AS2" s="31"/>
      <c r="AT2" s="32" t="s">
        <v>9</v>
      </c>
      <c r="AW2" s="33"/>
      <c r="AX2" s="34"/>
      <c r="AZ2" s="35"/>
      <c r="BA2" s="34"/>
      <c r="BC2" s="35"/>
      <c r="BD2" s="34"/>
      <c r="BF2" s="35"/>
      <c r="BG2" s="34"/>
      <c r="BI2" s="35"/>
      <c r="BJ2" s="36"/>
      <c r="BL2" s="35"/>
      <c r="BM2" s="36"/>
      <c r="BO2" s="35"/>
      <c r="BP2" s="36"/>
      <c r="BR2" s="35"/>
      <c r="BS2" s="36"/>
      <c r="BU2" s="35"/>
      <c r="BV2" s="36"/>
      <c r="BX2" s="35"/>
      <c r="BY2" s="36"/>
      <c r="CA2" s="35"/>
      <c r="CB2" s="36"/>
      <c r="CD2" s="35"/>
      <c r="CE2" s="36"/>
      <c r="CG2" s="35"/>
      <c r="CH2" s="36"/>
      <c r="CJ2" s="35"/>
      <c r="CK2" s="36"/>
      <c r="CM2" s="35"/>
      <c r="CN2" s="36"/>
      <c r="CP2" s="35"/>
      <c r="CQ2" s="31"/>
      <c r="CR2" s="37" t="s">
        <v>10</v>
      </c>
      <c r="CS2" s="12"/>
      <c r="CT2" s="13"/>
      <c r="CU2" s="38" t="s">
        <v>11</v>
      </c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40"/>
      <c r="DH2" s="41" t="s">
        <v>12</v>
      </c>
      <c r="DI2" s="39"/>
      <c r="DJ2" s="40"/>
      <c r="DK2" s="41" t="s">
        <v>13</v>
      </c>
      <c r="DL2" s="39"/>
      <c r="DM2" s="40"/>
      <c r="DN2" s="42" t="s">
        <v>14</v>
      </c>
      <c r="DO2" s="39"/>
      <c r="DP2" s="40"/>
      <c r="DQ2" s="43" t="s">
        <v>15</v>
      </c>
      <c r="DR2" s="39"/>
      <c r="DS2" s="40"/>
      <c r="DT2" s="42" t="s">
        <v>16</v>
      </c>
      <c r="DU2" s="39"/>
      <c r="DV2" s="40"/>
      <c r="DW2" s="44" t="s">
        <v>17</v>
      </c>
      <c r="DX2" s="39"/>
      <c r="DY2" s="40"/>
      <c r="DZ2" s="31"/>
      <c r="EA2" s="45" t="s">
        <v>18</v>
      </c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40"/>
      <c r="EO2" s="46" t="s">
        <v>12</v>
      </c>
      <c r="EP2" s="40"/>
      <c r="EQ2" s="47" t="s">
        <v>19</v>
      </c>
      <c r="ER2" s="40"/>
      <c r="ES2" s="31"/>
      <c r="ET2" s="45" t="s">
        <v>20</v>
      </c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40"/>
      <c r="FJ2" s="48" t="s">
        <v>21</v>
      </c>
      <c r="FK2" s="39"/>
      <c r="FL2" s="40"/>
      <c r="FM2" s="31"/>
      <c r="FN2" s="49" t="s">
        <v>22</v>
      </c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8"/>
      <c r="FZ2" s="50" t="s">
        <v>23</v>
      </c>
      <c r="GA2" s="28"/>
      <c r="GB2" s="51">
        <v>44531.0</v>
      </c>
      <c r="GC2" s="51">
        <v>44532.0</v>
      </c>
      <c r="GD2" s="51">
        <v>44533.0</v>
      </c>
      <c r="GE2" s="51">
        <v>44534.0</v>
      </c>
      <c r="GF2" s="51">
        <v>44535.0</v>
      </c>
      <c r="GG2" s="51">
        <v>44536.0</v>
      </c>
      <c r="GH2" s="51">
        <v>44537.0</v>
      </c>
      <c r="GI2" s="51">
        <v>44538.0</v>
      </c>
      <c r="GJ2" s="51">
        <v>44539.0</v>
      </c>
      <c r="GK2" s="51">
        <v>44540.0</v>
      </c>
      <c r="GL2" s="51">
        <v>44541.0</v>
      </c>
      <c r="GM2" s="51">
        <v>44542.0</v>
      </c>
      <c r="GN2" s="51">
        <v>44543.0</v>
      </c>
      <c r="GO2" s="51">
        <v>44544.0</v>
      </c>
      <c r="GP2" s="51">
        <v>44545.0</v>
      </c>
      <c r="GQ2" s="51">
        <v>44546.0</v>
      </c>
      <c r="GR2" s="51">
        <v>44547.0</v>
      </c>
      <c r="GS2" s="51">
        <v>44548.0</v>
      </c>
      <c r="GT2" s="51">
        <v>44549.0</v>
      </c>
      <c r="GU2" s="51">
        <v>44550.0</v>
      </c>
      <c r="GV2" s="51">
        <v>44551.0</v>
      </c>
      <c r="GW2" s="51">
        <v>44552.0</v>
      </c>
      <c r="GX2" s="51">
        <v>44553.0</v>
      </c>
      <c r="GY2" s="51">
        <v>44554.0</v>
      </c>
      <c r="GZ2" s="51">
        <v>44555.0</v>
      </c>
      <c r="HA2" s="51">
        <v>44556.0</v>
      </c>
      <c r="HB2" s="51">
        <v>44557.0</v>
      </c>
      <c r="HC2" s="51">
        <v>44558.0</v>
      </c>
      <c r="HD2" s="51">
        <v>44559.0</v>
      </c>
      <c r="HE2" s="51">
        <v>44560.0</v>
      </c>
      <c r="HF2" s="51">
        <v>44561.0</v>
      </c>
      <c r="HG2" s="52" t="s">
        <v>24</v>
      </c>
      <c r="HJ2" s="53"/>
    </row>
    <row r="3" ht="15.0" customHeight="1">
      <c r="A3" s="54"/>
      <c r="C3" s="25"/>
      <c r="D3" s="55"/>
      <c r="L3" s="33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31"/>
      <c r="AT3" s="57"/>
      <c r="AU3" s="39"/>
      <c r="AV3" s="39"/>
      <c r="AW3" s="40"/>
      <c r="AX3" s="58"/>
      <c r="AY3" s="59"/>
      <c r="AZ3" s="60"/>
      <c r="BA3" s="58"/>
      <c r="BB3" s="59"/>
      <c r="BC3" s="60"/>
      <c r="BD3" s="58"/>
      <c r="BE3" s="59"/>
      <c r="BF3" s="60"/>
      <c r="BG3" s="58"/>
      <c r="BH3" s="59"/>
      <c r="BI3" s="60"/>
      <c r="BJ3" s="58"/>
      <c r="BK3" s="59"/>
      <c r="BL3" s="60"/>
      <c r="BM3" s="58"/>
      <c r="BN3" s="59"/>
      <c r="BO3" s="60"/>
      <c r="BP3" s="58"/>
      <c r="BQ3" s="59"/>
      <c r="BR3" s="60"/>
      <c r="BS3" s="58"/>
      <c r="BT3" s="59"/>
      <c r="BU3" s="60"/>
      <c r="BV3" s="58"/>
      <c r="BW3" s="59"/>
      <c r="BX3" s="60"/>
      <c r="BY3" s="58"/>
      <c r="BZ3" s="59"/>
      <c r="CA3" s="60"/>
      <c r="CB3" s="58"/>
      <c r="CC3" s="59"/>
      <c r="CD3" s="60"/>
      <c r="CE3" s="58"/>
      <c r="CF3" s="59"/>
      <c r="CG3" s="60"/>
      <c r="CH3" s="58"/>
      <c r="CI3" s="59"/>
      <c r="CJ3" s="60"/>
      <c r="CK3" s="58"/>
      <c r="CL3" s="59"/>
      <c r="CM3" s="60"/>
      <c r="CN3" s="58"/>
      <c r="CO3" s="59"/>
      <c r="CP3" s="60"/>
      <c r="CQ3" s="31"/>
      <c r="CR3" s="61">
        <v>0.0</v>
      </c>
      <c r="CS3" s="12"/>
      <c r="CT3" s="13"/>
      <c r="CU3" s="62" t="s">
        <v>25</v>
      </c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60"/>
      <c r="DH3" s="63">
        <f t="shared" ref="DH3:DH9" si="1">SUM(N6:AR6)</f>
        <v>59</v>
      </c>
      <c r="DI3" s="59"/>
      <c r="DJ3" s="60"/>
      <c r="DK3" s="64">
        <v>10.0</v>
      </c>
      <c r="DL3" s="59"/>
      <c r="DM3" s="60"/>
      <c r="DN3" s="65">
        <v>0.0</v>
      </c>
      <c r="DO3" s="59"/>
      <c r="DP3" s="60"/>
      <c r="DQ3" s="63">
        <v>0.0</v>
      </c>
      <c r="DR3" s="59"/>
      <c r="DS3" s="60"/>
      <c r="DT3" s="66">
        <v>0.0</v>
      </c>
      <c r="DU3" s="59"/>
      <c r="DV3" s="60"/>
      <c r="DW3" s="67">
        <f>(DK3-DH3)/'График'!AK4</f>
        <v>-2.130434783</v>
      </c>
      <c r="DX3" s="59"/>
      <c r="DY3" s="60"/>
      <c r="DZ3" s="31"/>
      <c r="EA3" s="68" t="s">
        <v>26</v>
      </c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60"/>
      <c r="EO3" s="66">
        <f>DH5*100/DH3</f>
        <v>33.89830508</v>
      </c>
      <c r="EP3" s="60"/>
      <c r="EQ3" s="69"/>
      <c r="ER3" s="60"/>
      <c r="ES3" s="31"/>
      <c r="ET3" s="70" t="s">
        <v>27</v>
      </c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60"/>
      <c r="FJ3" s="71">
        <f>HG12</f>
        <v>0</v>
      </c>
      <c r="FK3" s="59"/>
      <c r="FL3" s="60"/>
      <c r="FM3" s="31"/>
      <c r="FN3" s="55"/>
      <c r="FY3" s="33"/>
      <c r="FZ3" s="55"/>
      <c r="GA3" s="33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J3" s="53"/>
    </row>
    <row r="4" ht="15.0" customHeight="1">
      <c r="A4" s="54"/>
      <c r="C4" s="25"/>
      <c r="D4" s="55"/>
      <c r="L4" s="33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31"/>
      <c r="AT4" s="72" t="s">
        <v>21</v>
      </c>
      <c r="AU4" s="27"/>
      <c r="AV4" s="27"/>
      <c r="AW4" s="28"/>
      <c r="AX4" s="73"/>
      <c r="AY4" s="74"/>
      <c r="AZ4" s="75"/>
      <c r="BA4" s="73"/>
      <c r="BB4" s="74"/>
      <c r="BC4" s="75"/>
      <c r="BD4" s="73"/>
      <c r="BE4" s="74"/>
      <c r="BF4" s="75"/>
      <c r="BG4" s="73"/>
      <c r="BH4" s="74"/>
      <c r="BI4" s="75"/>
      <c r="BJ4" s="76"/>
      <c r="BK4" s="74"/>
      <c r="BL4" s="75"/>
      <c r="BM4" s="76"/>
      <c r="BN4" s="74"/>
      <c r="BO4" s="75"/>
      <c r="BP4" s="76"/>
      <c r="BQ4" s="74"/>
      <c r="BR4" s="75"/>
      <c r="BS4" s="76"/>
      <c r="BT4" s="74"/>
      <c r="BU4" s="75"/>
      <c r="BV4" s="76"/>
      <c r="BW4" s="74"/>
      <c r="BX4" s="75"/>
      <c r="BY4" s="76"/>
      <c r="BZ4" s="74"/>
      <c r="CA4" s="75"/>
      <c r="CB4" s="76"/>
      <c r="CC4" s="74"/>
      <c r="CD4" s="75"/>
      <c r="CE4" s="76"/>
      <c r="CF4" s="74"/>
      <c r="CG4" s="75"/>
      <c r="CH4" s="76"/>
      <c r="CI4" s="74"/>
      <c r="CJ4" s="75"/>
      <c r="CK4" s="76"/>
      <c r="CL4" s="74"/>
      <c r="CM4" s="75"/>
      <c r="CN4" s="76"/>
      <c r="CO4" s="74"/>
      <c r="CP4" s="75"/>
      <c r="CQ4" s="31"/>
      <c r="CR4" s="61">
        <v>0.0</v>
      </c>
      <c r="CS4" s="12"/>
      <c r="CT4" s="13"/>
      <c r="CU4" s="77" t="s">
        <v>28</v>
      </c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75"/>
      <c r="DH4" s="78">
        <f t="shared" si="1"/>
        <v>197</v>
      </c>
      <c r="DI4" s="74"/>
      <c r="DJ4" s="75"/>
      <c r="DK4" s="79">
        <v>10.0</v>
      </c>
      <c r="DL4" s="74"/>
      <c r="DM4" s="75"/>
      <c r="DN4" s="80">
        <f t="shared" ref="DN4:DN7" si="2">2500*DT4/100</f>
        <v>2500</v>
      </c>
      <c r="DO4" s="74"/>
      <c r="DP4" s="75"/>
      <c r="DQ4" s="78">
        <f t="shared" ref="DQ4:DQ7" si="3">IF(DH4&lt;DK4,DH4,IF(DH4&gt;=DK4,DK4))</f>
        <v>10</v>
      </c>
      <c r="DR4" s="74"/>
      <c r="DS4" s="75"/>
      <c r="DT4" s="81">
        <f t="shared" ref="DT4:DT7" si="4">DQ4*100/DK4</f>
        <v>100</v>
      </c>
      <c r="DU4" s="74"/>
      <c r="DV4" s="75"/>
      <c r="DW4" s="82">
        <f>(DK4-DH4)/'График'!AK4</f>
        <v>-8.130434783</v>
      </c>
      <c r="DX4" s="74"/>
      <c r="DY4" s="75"/>
      <c r="DZ4" s="31"/>
      <c r="EA4" s="83" t="s">
        <v>29</v>
      </c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5"/>
      <c r="EO4" s="81">
        <f>DH6*100/DH3</f>
        <v>15.25423729</v>
      </c>
      <c r="EP4" s="75"/>
      <c r="EQ4" s="69"/>
      <c r="ER4" s="60"/>
      <c r="ES4" s="31"/>
      <c r="ET4" s="84" t="s">
        <v>30</v>
      </c>
      <c r="EU4" s="74"/>
      <c r="EV4" s="74"/>
      <c r="EW4" s="74"/>
      <c r="EX4" s="74"/>
      <c r="EY4" s="74"/>
      <c r="EZ4" s="74"/>
      <c r="FA4" s="74"/>
      <c r="FB4" s="74"/>
      <c r="FC4" s="74"/>
      <c r="FD4" s="74"/>
      <c r="FE4" s="74"/>
      <c r="FF4" s="74"/>
      <c r="FG4" s="74"/>
      <c r="FH4" s="74"/>
      <c r="FI4" s="75"/>
      <c r="FJ4" s="85">
        <f>sum(DN4:DP7,DN9)</f>
        <v>7500</v>
      </c>
      <c r="FK4" s="74"/>
      <c r="FL4" s="75"/>
      <c r="FM4" s="31"/>
      <c r="FN4" s="55"/>
      <c r="FY4" s="33"/>
      <c r="FZ4" s="55"/>
      <c r="GA4" s="33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  <c r="GP4" s="56"/>
      <c r="GQ4" s="56"/>
      <c r="GR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J4" s="53"/>
    </row>
    <row r="5" ht="15.0" customHeight="1">
      <c r="A5" s="54"/>
      <c r="C5" s="25"/>
      <c r="D5" s="57"/>
      <c r="E5" s="39"/>
      <c r="F5" s="39"/>
      <c r="G5" s="39"/>
      <c r="H5" s="39"/>
      <c r="I5" s="39"/>
      <c r="J5" s="39"/>
      <c r="K5" s="39"/>
      <c r="L5" s="40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31"/>
      <c r="AT5" s="87" t="s">
        <v>31</v>
      </c>
      <c r="AU5" s="88"/>
      <c r="AV5" s="88"/>
      <c r="AW5" s="89"/>
      <c r="AX5" s="90">
        <v>1.0</v>
      </c>
      <c r="AY5" s="59"/>
      <c r="AZ5" s="60"/>
      <c r="BA5" s="90">
        <v>1.0</v>
      </c>
      <c r="BB5" s="59"/>
      <c r="BC5" s="60"/>
      <c r="BD5" s="90">
        <v>3.0</v>
      </c>
      <c r="BE5" s="59"/>
      <c r="BF5" s="60"/>
      <c r="BG5" s="90">
        <v>4.0</v>
      </c>
      <c r="BH5" s="59"/>
      <c r="BI5" s="60"/>
      <c r="BJ5" s="90">
        <v>5.0</v>
      </c>
      <c r="BK5" s="59"/>
      <c r="BL5" s="60"/>
      <c r="BM5" s="90">
        <v>6.0</v>
      </c>
      <c r="BN5" s="59"/>
      <c r="BO5" s="60"/>
      <c r="BP5" s="90">
        <v>7.0</v>
      </c>
      <c r="BQ5" s="59"/>
      <c r="BR5" s="60"/>
      <c r="BS5" s="90">
        <v>8.0</v>
      </c>
      <c r="BT5" s="59"/>
      <c r="BU5" s="60"/>
      <c r="BV5" s="90">
        <v>9.0</v>
      </c>
      <c r="BW5" s="59"/>
      <c r="BX5" s="60"/>
      <c r="BY5" s="90">
        <v>10.0</v>
      </c>
      <c r="BZ5" s="59"/>
      <c r="CA5" s="60"/>
      <c r="CB5" s="90">
        <v>11.0</v>
      </c>
      <c r="CC5" s="59"/>
      <c r="CD5" s="60"/>
      <c r="CE5" s="90">
        <v>12.0</v>
      </c>
      <c r="CF5" s="59"/>
      <c r="CG5" s="60"/>
      <c r="CH5" s="90">
        <v>13.0</v>
      </c>
      <c r="CI5" s="59"/>
      <c r="CJ5" s="60"/>
      <c r="CK5" s="90">
        <v>14.0</v>
      </c>
      <c r="CL5" s="59"/>
      <c r="CM5" s="60"/>
      <c r="CN5" s="90">
        <v>15.0</v>
      </c>
      <c r="CO5" s="59"/>
      <c r="CP5" s="60"/>
      <c r="CQ5" s="31"/>
      <c r="CR5" s="61">
        <v>0.0</v>
      </c>
      <c r="CS5" s="12"/>
      <c r="CT5" s="13"/>
      <c r="CU5" s="91" t="s">
        <v>32</v>
      </c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5"/>
      <c r="DH5" s="78">
        <f t="shared" si="1"/>
        <v>20</v>
      </c>
      <c r="DI5" s="74"/>
      <c r="DJ5" s="75"/>
      <c r="DK5" s="79">
        <v>10.0</v>
      </c>
      <c r="DL5" s="74"/>
      <c r="DM5" s="75"/>
      <c r="DN5" s="80">
        <f t="shared" si="2"/>
        <v>2500</v>
      </c>
      <c r="DO5" s="74"/>
      <c r="DP5" s="75"/>
      <c r="DQ5" s="78">
        <f t="shared" si="3"/>
        <v>10</v>
      </c>
      <c r="DR5" s="74"/>
      <c r="DS5" s="75"/>
      <c r="DT5" s="81">
        <f t="shared" si="4"/>
        <v>100</v>
      </c>
      <c r="DU5" s="74"/>
      <c r="DV5" s="75"/>
      <c r="DW5" s="82">
        <f>(DK5-DH5)/'График'!AK4</f>
        <v>-0.4347826087</v>
      </c>
      <c r="DX5" s="74"/>
      <c r="DY5" s="75"/>
      <c r="DZ5" s="31"/>
      <c r="EA5" s="92" t="s">
        <v>33</v>
      </c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5"/>
      <c r="EO5" s="81">
        <f>DH7*100/DH3</f>
        <v>0</v>
      </c>
      <c r="EP5" s="75"/>
      <c r="EQ5" s="69"/>
      <c r="ER5" s="60"/>
      <c r="ES5" s="31"/>
      <c r="ET5" s="84" t="s">
        <v>34</v>
      </c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5"/>
      <c r="FJ5" s="93">
        <f>sum(DT4,DT5,DT6,DT7,DT9)/5</f>
        <v>60</v>
      </c>
      <c r="FK5" s="74"/>
      <c r="FL5" s="75"/>
      <c r="FM5" s="31"/>
      <c r="FN5" s="57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40"/>
      <c r="FZ5" s="57"/>
      <c r="GA5" s="40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J5" s="53"/>
    </row>
    <row r="6" ht="15.0" customHeight="1">
      <c r="A6" s="54"/>
      <c r="C6" s="94"/>
      <c r="D6" s="95" t="s">
        <v>35</v>
      </c>
      <c r="E6" s="59"/>
      <c r="F6" s="59"/>
      <c r="G6" s="59"/>
      <c r="H6" s="59"/>
      <c r="I6" s="59"/>
      <c r="J6" s="59"/>
      <c r="K6" s="59"/>
      <c r="L6" s="59"/>
      <c r="M6" s="60"/>
      <c r="N6" s="96"/>
      <c r="O6" s="97"/>
      <c r="P6" s="97"/>
      <c r="Q6" s="96"/>
      <c r="R6" s="96"/>
      <c r="S6" s="96"/>
      <c r="T6" s="96"/>
      <c r="U6" s="97"/>
      <c r="V6" s="96">
        <v>2.0</v>
      </c>
      <c r="W6" s="96">
        <v>7.0</v>
      </c>
      <c r="X6" s="96">
        <v>4.0</v>
      </c>
      <c r="Y6" s="96">
        <v>0.0</v>
      </c>
      <c r="Z6" s="96"/>
      <c r="AA6" s="96">
        <v>10.0</v>
      </c>
      <c r="AB6" s="96">
        <v>0.0</v>
      </c>
      <c r="AC6" s="96">
        <v>0.0</v>
      </c>
      <c r="AD6" s="96">
        <v>4.0</v>
      </c>
      <c r="AE6" s="96">
        <v>5.0</v>
      </c>
      <c r="AF6" s="96">
        <v>0.0</v>
      </c>
      <c r="AG6" s="97"/>
      <c r="AH6" s="96">
        <v>1.0</v>
      </c>
      <c r="AI6" s="96">
        <v>12.0</v>
      </c>
      <c r="AJ6" s="96">
        <v>0.0</v>
      </c>
      <c r="AK6" s="96">
        <v>0.0</v>
      </c>
      <c r="AL6" s="96">
        <v>0.0</v>
      </c>
      <c r="AM6" s="96">
        <v>8.0</v>
      </c>
      <c r="AN6" s="96"/>
      <c r="AO6" s="96">
        <v>2.0</v>
      </c>
      <c r="AP6" s="96">
        <v>2.0</v>
      </c>
      <c r="AQ6" s="96">
        <v>2.0</v>
      </c>
      <c r="AR6" s="96"/>
      <c r="AS6" s="31"/>
      <c r="AT6" s="98" t="s">
        <v>36</v>
      </c>
      <c r="AU6" s="5"/>
      <c r="AV6" s="5"/>
      <c r="AW6" s="99" t="s">
        <v>37</v>
      </c>
      <c r="AX6" s="100">
        <v>10.0</v>
      </c>
      <c r="AY6" s="59"/>
      <c r="AZ6" s="60"/>
      <c r="BA6" s="101">
        <v>10.0</v>
      </c>
      <c r="BB6" s="59"/>
      <c r="BC6" s="60"/>
      <c r="BD6" s="101">
        <v>10.0</v>
      </c>
      <c r="BE6" s="59"/>
      <c r="BF6" s="60"/>
      <c r="BG6" s="101">
        <v>10.0</v>
      </c>
      <c r="BH6" s="59"/>
      <c r="BI6" s="60"/>
      <c r="BJ6" s="101">
        <v>10.0</v>
      </c>
      <c r="BK6" s="59"/>
      <c r="BL6" s="60"/>
      <c r="BM6" s="101">
        <v>10.0</v>
      </c>
      <c r="BN6" s="59"/>
      <c r="BO6" s="60"/>
      <c r="BP6" s="101">
        <v>10.0</v>
      </c>
      <c r="BQ6" s="59"/>
      <c r="BR6" s="60"/>
      <c r="BS6" s="101">
        <v>10.0</v>
      </c>
      <c r="BT6" s="59"/>
      <c r="BU6" s="60"/>
      <c r="BV6" s="101">
        <v>10.0</v>
      </c>
      <c r="BW6" s="59"/>
      <c r="BX6" s="60"/>
      <c r="BY6" s="101">
        <v>10.0</v>
      </c>
      <c r="BZ6" s="59"/>
      <c r="CA6" s="60"/>
      <c r="CB6" s="101">
        <v>10.0</v>
      </c>
      <c r="CC6" s="59"/>
      <c r="CD6" s="60"/>
      <c r="CE6" s="101">
        <v>10.0</v>
      </c>
      <c r="CF6" s="59"/>
      <c r="CG6" s="60"/>
      <c r="CH6" s="101">
        <v>10.0</v>
      </c>
      <c r="CI6" s="59"/>
      <c r="CJ6" s="60"/>
      <c r="CK6" s="101">
        <v>10.0</v>
      </c>
      <c r="CL6" s="59"/>
      <c r="CM6" s="60"/>
      <c r="CN6" s="101">
        <v>10.0</v>
      </c>
      <c r="CO6" s="59"/>
      <c r="CP6" s="60"/>
      <c r="CQ6" s="31"/>
      <c r="CR6" s="61">
        <v>10000.0</v>
      </c>
      <c r="CS6" s="12"/>
      <c r="CT6" s="13"/>
      <c r="CU6" s="91" t="s">
        <v>38</v>
      </c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5"/>
      <c r="DH6" s="78">
        <f t="shared" si="1"/>
        <v>9</v>
      </c>
      <c r="DI6" s="74"/>
      <c r="DJ6" s="75"/>
      <c r="DK6" s="79">
        <v>7.0</v>
      </c>
      <c r="DL6" s="74"/>
      <c r="DM6" s="75"/>
      <c r="DN6" s="80">
        <f t="shared" si="2"/>
        <v>2500</v>
      </c>
      <c r="DO6" s="74"/>
      <c r="DP6" s="75"/>
      <c r="DQ6" s="78">
        <f t="shared" si="3"/>
        <v>7</v>
      </c>
      <c r="DR6" s="74"/>
      <c r="DS6" s="75"/>
      <c r="DT6" s="81">
        <f t="shared" si="4"/>
        <v>100</v>
      </c>
      <c r="DU6" s="74"/>
      <c r="DV6" s="75"/>
      <c r="DW6" s="82">
        <f>(DK6-DH6)/'График'!AK4</f>
        <v>-0.08695652174</v>
      </c>
      <c r="DX6" s="74"/>
      <c r="DY6" s="75"/>
      <c r="DZ6" s="31"/>
      <c r="EA6" s="83" t="s">
        <v>39</v>
      </c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5"/>
      <c r="EO6" s="81">
        <f>DH5*100/DH4</f>
        <v>10.15228426</v>
      </c>
      <c r="EP6" s="75"/>
      <c r="EQ6" s="69"/>
      <c r="ER6" s="60"/>
      <c r="ES6" s="31"/>
      <c r="ET6" s="102" t="s">
        <v>40</v>
      </c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5"/>
      <c r="FJ6" s="85">
        <f>sum(AX14:CP14)</f>
        <v>14000</v>
      </c>
      <c r="FK6" s="74"/>
      <c r="FL6" s="75"/>
      <c r="FM6" s="31"/>
      <c r="FN6" s="95" t="s">
        <v>41</v>
      </c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60"/>
      <c r="FZ6" s="103">
        <v>200.0</v>
      </c>
      <c r="GA6" s="60"/>
      <c r="GB6" s="104"/>
      <c r="GC6" s="105"/>
      <c r="GD6" s="106"/>
      <c r="GE6" s="105"/>
      <c r="GF6" s="105"/>
      <c r="GG6" s="106"/>
      <c r="GH6" s="105"/>
      <c r="GI6" s="105"/>
      <c r="GJ6" s="105"/>
      <c r="GK6" s="106"/>
      <c r="GL6" s="106"/>
      <c r="GM6" s="105"/>
      <c r="GN6" s="106"/>
      <c r="GO6" s="105"/>
      <c r="GP6" s="105"/>
      <c r="GQ6" s="106"/>
      <c r="GR6" s="106"/>
      <c r="GS6" s="105"/>
      <c r="GT6" s="105"/>
      <c r="GU6" s="106"/>
      <c r="GV6" s="105"/>
      <c r="GW6" s="105"/>
      <c r="GX6" s="105"/>
      <c r="GY6" s="106"/>
      <c r="GZ6" s="105"/>
      <c r="HA6" s="105"/>
      <c r="HB6" s="105"/>
      <c r="HC6" s="106"/>
      <c r="HD6" s="105"/>
      <c r="HE6" s="105"/>
      <c r="HF6" s="105"/>
      <c r="HG6" s="107">
        <f t="shared" ref="HG6:HG11" si="5">sum(GB6:HF6)*FZ6</f>
        <v>0</v>
      </c>
      <c r="HH6" s="74"/>
      <c r="HI6" s="75"/>
      <c r="HJ6" s="108"/>
    </row>
    <row r="7" ht="15.0" customHeight="1">
      <c r="A7" s="54"/>
      <c r="C7" s="109"/>
      <c r="D7" s="110" t="s">
        <v>42</v>
      </c>
      <c r="E7" s="74"/>
      <c r="F7" s="74"/>
      <c r="G7" s="74"/>
      <c r="H7" s="74"/>
      <c r="I7" s="74"/>
      <c r="J7" s="74"/>
      <c r="K7" s="74"/>
      <c r="L7" s="74"/>
      <c r="M7" s="75"/>
      <c r="N7" s="111"/>
      <c r="O7" s="112"/>
      <c r="P7" s="112"/>
      <c r="Q7" s="111"/>
      <c r="R7" s="111"/>
      <c r="S7" s="111"/>
      <c r="T7" s="111"/>
      <c r="U7" s="112"/>
      <c r="V7" s="111">
        <v>12.0</v>
      </c>
      <c r="W7" s="111">
        <v>11.0</v>
      </c>
      <c r="X7" s="111">
        <v>9.0</v>
      </c>
      <c r="Y7" s="111">
        <v>2.0</v>
      </c>
      <c r="Z7" s="111"/>
      <c r="AA7" s="111">
        <v>17.0</v>
      </c>
      <c r="AB7" s="111">
        <v>9.0</v>
      </c>
      <c r="AC7" s="111">
        <v>8.0</v>
      </c>
      <c r="AD7" s="111">
        <v>13.0</v>
      </c>
      <c r="AE7" s="111">
        <v>14.0</v>
      </c>
      <c r="AF7" s="111">
        <v>1.0</v>
      </c>
      <c r="AG7" s="112"/>
      <c r="AH7" s="111">
        <v>11.0</v>
      </c>
      <c r="AI7" s="111">
        <v>15.0</v>
      </c>
      <c r="AJ7" s="111">
        <v>5.0</v>
      </c>
      <c r="AK7" s="111">
        <v>7.0</v>
      </c>
      <c r="AL7" s="111">
        <v>8.0</v>
      </c>
      <c r="AM7" s="111">
        <v>13.0</v>
      </c>
      <c r="AN7" s="111"/>
      <c r="AO7" s="111">
        <v>18.0</v>
      </c>
      <c r="AP7" s="111">
        <v>14.0</v>
      </c>
      <c r="AQ7" s="111">
        <v>10.0</v>
      </c>
      <c r="AR7" s="111"/>
      <c r="AS7" s="31"/>
      <c r="AT7" s="113">
        <f>SUM(AX7:CO7)</f>
        <v>0</v>
      </c>
      <c r="AU7" s="59"/>
      <c r="AV7" s="59"/>
      <c r="AW7" s="60"/>
      <c r="AX7" s="114">
        <f>(AX4*AX6)/100</f>
        <v>0</v>
      </c>
      <c r="AY7" s="74"/>
      <c r="AZ7" s="75"/>
      <c r="BA7" s="115">
        <f>(BA4*BA6)/100</f>
        <v>0</v>
      </c>
      <c r="BB7" s="74"/>
      <c r="BC7" s="75"/>
      <c r="BD7" s="115">
        <f>(BD4*BD6)/100</f>
        <v>0</v>
      </c>
      <c r="BE7" s="74"/>
      <c r="BF7" s="75"/>
      <c r="BG7" s="115">
        <f>(BG4*BG6)/100</f>
        <v>0</v>
      </c>
      <c r="BH7" s="74"/>
      <c r="BI7" s="75"/>
      <c r="BJ7" s="115">
        <f>(BJ4*BJ6)/100</f>
        <v>0</v>
      </c>
      <c r="BK7" s="74"/>
      <c r="BL7" s="75"/>
      <c r="BM7" s="115">
        <f>(BM4*BM6)/100</f>
        <v>0</v>
      </c>
      <c r="BN7" s="74"/>
      <c r="BO7" s="75"/>
      <c r="BP7" s="115">
        <f>(BP4*BP6)/100</f>
        <v>0</v>
      </c>
      <c r="BQ7" s="74"/>
      <c r="BR7" s="75"/>
      <c r="BS7" s="115">
        <f>(BS4*BS6)/100</f>
        <v>0</v>
      </c>
      <c r="BT7" s="74"/>
      <c r="BU7" s="75"/>
      <c r="BV7" s="115">
        <f>(BV4*BV6)/100</f>
        <v>0</v>
      </c>
      <c r="BW7" s="74"/>
      <c r="BX7" s="75"/>
      <c r="BY7" s="115">
        <f>(BY4*BY6)/100</f>
        <v>0</v>
      </c>
      <c r="BZ7" s="74"/>
      <c r="CA7" s="75"/>
      <c r="CB7" s="115">
        <f>(CB4*CB6)/100</f>
        <v>0</v>
      </c>
      <c r="CC7" s="74"/>
      <c r="CD7" s="75"/>
      <c r="CE7" s="115">
        <f>(CE4*CE6)/100</f>
        <v>0</v>
      </c>
      <c r="CF7" s="74"/>
      <c r="CG7" s="75"/>
      <c r="CH7" s="115">
        <f>(CH4*CH6)/100</f>
        <v>0</v>
      </c>
      <c r="CI7" s="74"/>
      <c r="CJ7" s="75"/>
      <c r="CK7" s="115">
        <f>(CK4*CK6)/100</f>
        <v>0</v>
      </c>
      <c r="CL7" s="74"/>
      <c r="CM7" s="75"/>
      <c r="CN7" s="115">
        <f>(CN4*CN6)/100</f>
        <v>0</v>
      </c>
      <c r="CO7" s="74"/>
      <c r="CP7" s="75"/>
      <c r="CQ7" s="31"/>
      <c r="CR7" s="61">
        <v>2500.0</v>
      </c>
      <c r="CS7" s="12"/>
      <c r="CT7" s="13"/>
      <c r="CU7" s="77" t="s">
        <v>43</v>
      </c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5"/>
      <c r="DH7" s="78">
        <f t="shared" si="1"/>
        <v>0</v>
      </c>
      <c r="DI7" s="74"/>
      <c r="DJ7" s="75"/>
      <c r="DK7" s="79">
        <v>1.0</v>
      </c>
      <c r="DL7" s="74"/>
      <c r="DM7" s="75"/>
      <c r="DN7" s="80">
        <f t="shared" si="2"/>
        <v>0</v>
      </c>
      <c r="DO7" s="74"/>
      <c r="DP7" s="75"/>
      <c r="DQ7" s="78">
        <f t="shared" si="3"/>
        <v>0</v>
      </c>
      <c r="DR7" s="74"/>
      <c r="DS7" s="75"/>
      <c r="DT7" s="81">
        <f t="shared" si="4"/>
        <v>0</v>
      </c>
      <c r="DU7" s="74"/>
      <c r="DV7" s="75"/>
      <c r="DW7" s="82">
        <f>(DK7-DH7)/'График'!AK4</f>
        <v>0.04347826087</v>
      </c>
      <c r="DX7" s="74"/>
      <c r="DY7" s="75"/>
      <c r="DZ7" s="31"/>
      <c r="EA7" s="83" t="s">
        <v>44</v>
      </c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5"/>
      <c r="EO7" s="81">
        <f>DH6*100/DH4</f>
        <v>4.568527919</v>
      </c>
      <c r="EP7" s="75"/>
      <c r="EQ7" s="69"/>
      <c r="ER7" s="60"/>
      <c r="ES7" s="31"/>
      <c r="ET7" s="102" t="s">
        <v>45</v>
      </c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5"/>
      <c r="FJ7" s="85"/>
      <c r="FK7" s="74"/>
      <c r="FL7" s="75"/>
      <c r="FM7" s="31"/>
      <c r="FN7" s="92" t="s">
        <v>46</v>
      </c>
      <c r="FO7" s="74"/>
      <c r="FP7" s="74"/>
      <c r="FQ7" s="74"/>
      <c r="FR7" s="74"/>
      <c r="FS7" s="74"/>
      <c r="FT7" s="74"/>
      <c r="FU7" s="74"/>
      <c r="FV7" s="74"/>
      <c r="FW7" s="74"/>
      <c r="FX7" s="74"/>
      <c r="FY7" s="75"/>
      <c r="FZ7" s="116">
        <v>200.0</v>
      </c>
      <c r="GA7" s="75"/>
      <c r="GB7" s="117"/>
      <c r="GC7" s="118"/>
      <c r="GD7" s="119"/>
      <c r="GE7" s="118"/>
      <c r="GF7" s="118"/>
      <c r="GG7" s="118"/>
      <c r="GH7" s="118"/>
      <c r="GI7" s="119"/>
      <c r="GJ7" s="118"/>
      <c r="GK7" s="118"/>
      <c r="GL7" s="118"/>
      <c r="GM7" s="118"/>
      <c r="GN7" s="118"/>
      <c r="GO7" s="118"/>
      <c r="GP7" s="118"/>
      <c r="GQ7" s="118"/>
      <c r="GR7" s="118"/>
      <c r="GS7" s="118"/>
      <c r="GT7" s="118"/>
      <c r="GU7" s="118"/>
      <c r="GV7" s="118"/>
      <c r="GW7" s="118"/>
      <c r="GX7" s="118"/>
      <c r="GY7" s="118"/>
      <c r="GZ7" s="118"/>
      <c r="HA7" s="118"/>
      <c r="HB7" s="118"/>
      <c r="HC7" s="118"/>
      <c r="HD7" s="118"/>
      <c r="HE7" s="118"/>
      <c r="HF7" s="119"/>
      <c r="HG7" s="107">
        <f t="shared" si="5"/>
        <v>0</v>
      </c>
      <c r="HH7" s="74"/>
      <c r="HI7" s="75"/>
      <c r="HJ7" s="108"/>
    </row>
    <row r="8" ht="15.0" customHeight="1">
      <c r="A8" s="54"/>
      <c r="C8" s="120"/>
      <c r="D8" s="83" t="s">
        <v>32</v>
      </c>
      <c r="E8" s="74"/>
      <c r="F8" s="74"/>
      <c r="G8" s="74"/>
      <c r="H8" s="74"/>
      <c r="I8" s="74"/>
      <c r="J8" s="74"/>
      <c r="K8" s="74"/>
      <c r="L8" s="74"/>
      <c r="M8" s="75"/>
      <c r="N8" s="111"/>
      <c r="O8" s="111"/>
      <c r="P8" s="111"/>
      <c r="Q8" s="111"/>
      <c r="R8" s="111"/>
      <c r="S8" s="111"/>
      <c r="T8" s="111"/>
      <c r="U8" s="112"/>
      <c r="V8" s="111">
        <v>3.0</v>
      </c>
      <c r="W8" s="111">
        <v>1.0</v>
      </c>
      <c r="X8" s="111">
        <v>1.0</v>
      </c>
      <c r="Y8" s="111">
        <v>0.0</v>
      </c>
      <c r="Z8" s="111"/>
      <c r="AA8" s="111">
        <v>3.0</v>
      </c>
      <c r="AB8" s="111">
        <v>1.0</v>
      </c>
      <c r="AC8" s="111">
        <v>0.0</v>
      </c>
      <c r="AD8" s="111">
        <v>2.0</v>
      </c>
      <c r="AE8" s="111">
        <v>1.0</v>
      </c>
      <c r="AF8" s="111">
        <v>0.0</v>
      </c>
      <c r="AG8" s="112"/>
      <c r="AH8" s="111">
        <v>0.0</v>
      </c>
      <c r="AI8" s="111">
        <v>2.0</v>
      </c>
      <c r="AJ8" s="111">
        <v>0.0</v>
      </c>
      <c r="AK8" s="111">
        <v>1.0</v>
      </c>
      <c r="AL8" s="111">
        <v>0.0</v>
      </c>
      <c r="AM8" s="111">
        <v>2.0</v>
      </c>
      <c r="AN8" s="111"/>
      <c r="AO8" s="111">
        <v>1.0</v>
      </c>
      <c r="AP8" s="111">
        <v>1.0</v>
      </c>
      <c r="AQ8" s="111">
        <v>1.0</v>
      </c>
      <c r="AR8" s="111"/>
      <c r="AS8" s="31"/>
      <c r="AT8" s="98" t="s">
        <v>47</v>
      </c>
      <c r="AU8" s="5"/>
      <c r="AV8" s="5"/>
      <c r="AW8" s="99" t="s">
        <v>37</v>
      </c>
      <c r="AX8" s="121">
        <v>5.0</v>
      </c>
      <c r="AY8" s="74"/>
      <c r="AZ8" s="75"/>
      <c r="BA8" s="122">
        <v>5.0</v>
      </c>
      <c r="BB8" s="74"/>
      <c r="BC8" s="75"/>
      <c r="BD8" s="122">
        <v>5.0</v>
      </c>
      <c r="BE8" s="74"/>
      <c r="BF8" s="75"/>
      <c r="BG8" s="101">
        <v>10.0</v>
      </c>
      <c r="BH8" s="59"/>
      <c r="BI8" s="60"/>
      <c r="BJ8" s="101">
        <v>10.0</v>
      </c>
      <c r="BK8" s="59"/>
      <c r="BL8" s="60"/>
      <c r="BM8" s="101">
        <v>10.0</v>
      </c>
      <c r="BN8" s="59"/>
      <c r="BO8" s="60"/>
      <c r="BP8" s="101">
        <v>10.0</v>
      </c>
      <c r="BQ8" s="59"/>
      <c r="BR8" s="60"/>
      <c r="BS8" s="101">
        <v>10.0</v>
      </c>
      <c r="BT8" s="59"/>
      <c r="BU8" s="60"/>
      <c r="BV8" s="101">
        <v>10.0</v>
      </c>
      <c r="BW8" s="59"/>
      <c r="BX8" s="60"/>
      <c r="BY8" s="101">
        <v>10.0</v>
      </c>
      <c r="BZ8" s="59"/>
      <c r="CA8" s="60"/>
      <c r="CB8" s="101">
        <v>10.0</v>
      </c>
      <c r="CC8" s="59"/>
      <c r="CD8" s="60"/>
      <c r="CE8" s="101">
        <v>10.0</v>
      </c>
      <c r="CF8" s="59"/>
      <c r="CG8" s="60"/>
      <c r="CH8" s="101">
        <v>10.0</v>
      </c>
      <c r="CI8" s="59"/>
      <c r="CJ8" s="60"/>
      <c r="CK8" s="101">
        <v>10.0</v>
      </c>
      <c r="CL8" s="59"/>
      <c r="CM8" s="60"/>
      <c r="CN8" s="101">
        <v>10.0</v>
      </c>
      <c r="CO8" s="59"/>
      <c r="CP8" s="60"/>
      <c r="CQ8" s="31"/>
      <c r="CR8" s="61">
        <v>0.0</v>
      </c>
      <c r="CS8" s="12"/>
      <c r="CT8" s="13"/>
      <c r="CU8" s="91" t="s">
        <v>48</v>
      </c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5"/>
      <c r="DH8" s="78">
        <f t="shared" si="1"/>
        <v>0</v>
      </c>
      <c r="DI8" s="74"/>
      <c r="DJ8" s="75"/>
      <c r="DK8" s="79">
        <v>2.0</v>
      </c>
      <c r="DL8" s="74"/>
      <c r="DM8" s="75"/>
      <c r="DN8" s="80">
        <v>0.0</v>
      </c>
      <c r="DO8" s="74"/>
      <c r="DP8" s="75"/>
      <c r="DQ8" s="78">
        <v>0.0</v>
      </c>
      <c r="DR8" s="74"/>
      <c r="DS8" s="75"/>
      <c r="DT8" s="81">
        <v>0.0</v>
      </c>
      <c r="DU8" s="74"/>
      <c r="DV8" s="75"/>
      <c r="DW8" s="82">
        <f>(DK8-DH8)/'График'!AK4</f>
        <v>0.08695652174</v>
      </c>
      <c r="DX8" s="74"/>
      <c r="DY8" s="75"/>
      <c r="DZ8" s="31"/>
      <c r="EA8" s="92" t="s">
        <v>49</v>
      </c>
      <c r="EB8" s="74"/>
      <c r="EC8" s="74"/>
      <c r="ED8" s="74"/>
      <c r="EE8" s="74"/>
      <c r="EF8" s="74"/>
      <c r="EG8" s="74"/>
      <c r="EH8" s="74"/>
      <c r="EI8" s="74"/>
      <c r="EJ8" s="74"/>
      <c r="EK8" s="74"/>
      <c r="EL8" s="74"/>
      <c r="EM8" s="74"/>
      <c r="EN8" s="75"/>
      <c r="EO8" s="81">
        <f>DH7*100/DH4</f>
        <v>0</v>
      </c>
      <c r="EP8" s="75"/>
      <c r="EQ8" s="69"/>
      <c r="ER8" s="60"/>
      <c r="ES8" s="31"/>
      <c r="ET8" s="102" t="s">
        <v>50</v>
      </c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5"/>
      <c r="FJ8" s="85"/>
      <c r="FK8" s="74"/>
      <c r="FL8" s="75"/>
      <c r="FM8" s="31"/>
      <c r="FN8" s="92" t="s">
        <v>51</v>
      </c>
      <c r="FO8" s="74"/>
      <c r="FP8" s="74"/>
      <c r="FQ8" s="74"/>
      <c r="FR8" s="74"/>
      <c r="FS8" s="74"/>
      <c r="FT8" s="74"/>
      <c r="FU8" s="74"/>
      <c r="FV8" s="74"/>
      <c r="FW8" s="74"/>
      <c r="FX8" s="74"/>
      <c r="FY8" s="75"/>
      <c r="FZ8" s="116">
        <v>500.0</v>
      </c>
      <c r="GA8" s="75"/>
      <c r="GB8" s="117"/>
      <c r="GC8" s="117"/>
      <c r="GD8" s="117"/>
      <c r="GE8" s="118"/>
      <c r="GF8" s="118"/>
      <c r="GG8" s="118"/>
      <c r="GH8" s="118"/>
      <c r="GI8" s="119"/>
      <c r="GJ8" s="118"/>
      <c r="GK8" s="118"/>
      <c r="GL8" s="118"/>
      <c r="GM8" s="118"/>
      <c r="GN8" s="118"/>
      <c r="GO8" s="118"/>
      <c r="GP8" s="118"/>
      <c r="GQ8" s="118"/>
      <c r="GR8" s="118"/>
      <c r="GS8" s="118"/>
      <c r="GT8" s="118"/>
      <c r="GU8" s="118"/>
      <c r="GV8" s="118"/>
      <c r="GW8" s="118"/>
      <c r="GX8" s="118"/>
      <c r="GY8" s="118"/>
      <c r="GZ8" s="118"/>
      <c r="HA8" s="118"/>
      <c r="HB8" s="118"/>
      <c r="HC8" s="118"/>
      <c r="HD8" s="118"/>
      <c r="HE8" s="118"/>
      <c r="HF8" s="118"/>
      <c r="HG8" s="107">
        <f t="shared" si="5"/>
        <v>0</v>
      </c>
      <c r="HH8" s="74"/>
      <c r="HI8" s="75"/>
      <c r="HJ8" s="108"/>
    </row>
    <row r="9" ht="15.0" customHeight="1">
      <c r="A9" s="54"/>
      <c r="C9" s="120"/>
      <c r="D9" s="83" t="s">
        <v>38</v>
      </c>
      <c r="E9" s="74"/>
      <c r="F9" s="74"/>
      <c r="G9" s="74"/>
      <c r="H9" s="74"/>
      <c r="I9" s="74"/>
      <c r="J9" s="74"/>
      <c r="K9" s="74"/>
      <c r="L9" s="74"/>
      <c r="M9" s="75"/>
      <c r="N9" s="111"/>
      <c r="O9" s="111"/>
      <c r="P9" s="111"/>
      <c r="Q9" s="111"/>
      <c r="R9" s="111"/>
      <c r="S9" s="111"/>
      <c r="T9" s="111"/>
      <c r="U9" s="111"/>
      <c r="V9" s="111">
        <v>2.0</v>
      </c>
      <c r="W9" s="111">
        <v>1.0</v>
      </c>
      <c r="X9" s="111">
        <v>0.0</v>
      </c>
      <c r="Y9" s="111">
        <v>0.0</v>
      </c>
      <c r="Z9" s="111"/>
      <c r="AA9" s="111">
        <v>1.0</v>
      </c>
      <c r="AB9" s="111">
        <v>0.0</v>
      </c>
      <c r="AC9" s="111">
        <v>0.0</v>
      </c>
      <c r="AD9" s="111">
        <v>0.0</v>
      </c>
      <c r="AE9" s="111">
        <v>1.0</v>
      </c>
      <c r="AF9" s="111">
        <v>0.0</v>
      </c>
      <c r="AG9" s="112"/>
      <c r="AH9" s="111">
        <v>1.0</v>
      </c>
      <c r="AI9" s="111">
        <v>0.0</v>
      </c>
      <c r="AJ9" s="111">
        <v>0.0</v>
      </c>
      <c r="AK9" s="111">
        <v>1.0</v>
      </c>
      <c r="AL9" s="111">
        <v>0.0</v>
      </c>
      <c r="AM9" s="111">
        <v>0.0</v>
      </c>
      <c r="AN9" s="111"/>
      <c r="AO9" s="111">
        <v>1.0</v>
      </c>
      <c r="AP9" s="111">
        <v>0.0</v>
      </c>
      <c r="AQ9" s="111">
        <v>1.0</v>
      </c>
      <c r="AR9" s="111"/>
      <c r="AS9" s="31"/>
      <c r="AT9" s="113">
        <f>SUM(AX9:CO9)</f>
        <v>0</v>
      </c>
      <c r="AU9" s="59"/>
      <c r="AV9" s="59"/>
      <c r="AW9" s="60"/>
      <c r="AX9" s="123">
        <f>(AX4*AX8)/100</f>
        <v>0</v>
      </c>
      <c r="AY9" s="74"/>
      <c r="AZ9" s="75"/>
      <c r="BA9" s="124">
        <f>(BA4*BA8)/100</f>
        <v>0</v>
      </c>
      <c r="BB9" s="74"/>
      <c r="BC9" s="75"/>
      <c r="BD9" s="124">
        <f>(BD4*BD8)/100</f>
        <v>0</v>
      </c>
      <c r="BE9" s="74"/>
      <c r="BF9" s="75"/>
      <c r="BG9" s="124">
        <f>(BG4*BG8)/100</f>
        <v>0</v>
      </c>
      <c r="BH9" s="74"/>
      <c r="BI9" s="75"/>
      <c r="BJ9" s="124">
        <f>(BJ4*BJ8)/100</f>
        <v>0</v>
      </c>
      <c r="BK9" s="74"/>
      <c r="BL9" s="75"/>
      <c r="BM9" s="124">
        <f>(BM4*BM8)/100</f>
        <v>0</v>
      </c>
      <c r="BN9" s="74"/>
      <c r="BO9" s="75"/>
      <c r="BP9" s="124">
        <f>(BP4*BP8)/100</f>
        <v>0</v>
      </c>
      <c r="BQ9" s="74"/>
      <c r="BR9" s="75"/>
      <c r="BS9" s="124">
        <f>(BS4*BS8)/100</f>
        <v>0</v>
      </c>
      <c r="BT9" s="74"/>
      <c r="BU9" s="75"/>
      <c r="BV9" s="124">
        <f>(BV4*BV8)/100</f>
        <v>0</v>
      </c>
      <c r="BW9" s="74"/>
      <c r="BX9" s="75"/>
      <c r="BY9" s="124">
        <f>(BY4*BY8)/100</f>
        <v>0</v>
      </c>
      <c r="BZ9" s="74"/>
      <c r="CA9" s="75"/>
      <c r="CB9" s="124">
        <f>(CB4*CB8)/100</f>
        <v>0</v>
      </c>
      <c r="CC9" s="74"/>
      <c r="CD9" s="75"/>
      <c r="CE9" s="124">
        <f>(CE4*CE8)/100</f>
        <v>0</v>
      </c>
      <c r="CF9" s="74"/>
      <c r="CG9" s="75"/>
      <c r="CH9" s="124">
        <f>(CH4*CH8)/100</f>
        <v>0</v>
      </c>
      <c r="CI9" s="74"/>
      <c r="CJ9" s="75"/>
      <c r="CK9" s="124">
        <f>(CK4*CK8)/100</f>
        <v>0</v>
      </c>
      <c r="CL9" s="74"/>
      <c r="CM9" s="75"/>
      <c r="CN9" s="124">
        <f>(CN4*CN8)/100</f>
        <v>0</v>
      </c>
      <c r="CO9" s="74"/>
      <c r="CP9" s="75"/>
      <c r="CQ9" s="31"/>
      <c r="CR9" s="61">
        <v>2500.0</v>
      </c>
      <c r="CS9" s="12"/>
      <c r="CT9" s="13"/>
      <c r="CU9" s="77" t="s">
        <v>52</v>
      </c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5"/>
      <c r="DH9" s="80">
        <f t="shared" si="1"/>
        <v>0</v>
      </c>
      <c r="DI9" s="74"/>
      <c r="DJ9" s="75"/>
      <c r="DK9" s="125">
        <v>20000.0</v>
      </c>
      <c r="DL9" s="74"/>
      <c r="DM9" s="75"/>
      <c r="DN9" s="80">
        <f>5000*DT9/100</f>
        <v>0</v>
      </c>
      <c r="DO9" s="74"/>
      <c r="DP9" s="75"/>
      <c r="DQ9" s="126">
        <f>IF(DH9&lt;DK9,DH9,IF(DH9&gt;=DK9,DK9))</f>
        <v>0</v>
      </c>
      <c r="DR9" s="74"/>
      <c r="DS9" s="75"/>
      <c r="DT9" s="81">
        <f>DQ9*100/DK9</f>
        <v>0</v>
      </c>
      <c r="DU9" s="74"/>
      <c r="DV9" s="75"/>
      <c r="DW9" s="80">
        <f>(DK9-DH9)/'График'!AK4</f>
        <v>869.5652174</v>
      </c>
      <c r="DX9" s="74"/>
      <c r="DY9" s="75"/>
      <c r="DZ9" s="31"/>
      <c r="EA9" s="83" t="s">
        <v>53</v>
      </c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5"/>
      <c r="EO9" s="81">
        <f>DH6*100/DH5</f>
        <v>45</v>
      </c>
      <c r="EP9" s="75"/>
      <c r="EQ9" s="69"/>
      <c r="ER9" s="60"/>
      <c r="ES9" s="31"/>
      <c r="ET9" s="102" t="s">
        <v>54</v>
      </c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5"/>
      <c r="FJ9" s="85">
        <f>if(FJ5&gt;84,DH9*15%+FJ4,if(FJ5&lt;85,DH9*10%+FJ4))</f>
        <v>7500</v>
      </c>
      <c r="FK9" s="74"/>
      <c r="FL9" s="75"/>
      <c r="FM9" s="31"/>
      <c r="FN9" s="92" t="s">
        <v>55</v>
      </c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5"/>
      <c r="FZ9" s="116">
        <v>800.0</v>
      </c>
      <c r="GA9" s="75"/>
      <c r="GB9" s="119"/>
      <c r="GC9" s="119"/>
      <c r="GD9" s="118"/>
      <c r="GE9" s="119"/>
      <c r="GF9" s="119"/>
      <c r="GG9" s="119"/>
      <c r="GH9" s="119"/>
      <c r="GI9" s="119"/>
      <c r="GJ9" s="119"/>
      <c r="GK9" s="118"/>
      <c r="GL9" s="118"/>
      <c r="GM9" s="119"/>
      <c r="GN9" s="118"/>
      <c r="GO9" s="118"/>
      <c r="GP9" s="118"/>
      <c r="GQ9" s="118"/>
      <c r="GR9" s="118"/>
      <c r="GS9" s="118"/>
      <c r="GT9" s="118"/>
      <c r="GU9" s="118"/>
      <c r="GV9" s="118"/>
      <c r="GW9" s="118"/>
      <c r="GX9" s="118"/>
      <c r="GY9" s="118"/>
      <c r="GZ9" s="118"/>
      <c r="HA9" s="118"/>
      <c r="HB9" s="118"/>
      <c r="HC9" s="118"/>
      <c r="HD9" s="118"/>
      <c r="HE9" s="118"/>
      <c r="HF9" s="118"/>
      <c r="HG9" s="107">
        <f t="shared" si="5"/>
        <v>0</v>
      </c>
      <c r="HH9" s="74"/>
      <c r="HI9" s="75"/>
      <c r="HJ9" s="108"/>
    </row>
    <row r="10" ht="15.0" customHeight="1">
      <c r="A10" s="54"/>
      <c r="C10" s="94"/>
      <c r="D10" s="92" t="s">
        <v>43</v>
      </c>
      <c r="E10" s="74"/>
      <c r="F10" s="74"/>
      <c r="G10" s="74"/>
      <c r="H10" s="74"/>
      <c r="I10" s="74"/>
      <c r="J10" s="74"/>
      <c r="K10" s="74"/>
      <c r="L10" s="74"/>
      <c r="M10" s="75"/>
      <c r="N10" s="111"/>
      <c r="O10" s="112"/>
      <c r="P10" s="112"/>
      <c r="Q10" s="111"/>
      <c r="R10" s="111"/>
      <c r="S10" s="111"/>
      <c r="T10" s="111"/>
      <c r="U10" s="112"/>
      <c r="V10" s="111">
        <v>0.0</v>
      </c>
      <c r="W10" s="111">
        <v>0.0</v>
      </c>
      <c r="X10" s="111">
        <v>0.0</v>
      </c>
      <c r="Y10" s="111">
        <v>0.0</v>
      </c>
      <c r="Z10" s="111"/>
      <c r="AA10" s="111">
        <v>0.0</v>
      </c>
      <c r="AB10" s="111">
        <v>0.0</v>
      </c>
      <c r="AC10" s="111">
        <v>0.0</v>
      </c>
      <c r="AD10" s="111">
        <v>0.0</v>
      </c>
      <c r="AE10" s="111">
        <v>0.0</v>
      </c>
      <c r="AF10" s="111">
        <v>0.0</v>
      </c>
      <c r="AG10" s="112"/>
      <c r="AH10" s="111">
        <v>0.0</v>
      </c>
      <c r="AI10" s="111">
        <v>0.0</v>
      </c>
      <c r="AJ10" s="111">
        <v>0.0</v>
      </c>
      <c r="AK10" s="111">
        <v>0.0</v>
      </c>
      <c r="AL10" s="111">
        <v>0.0</v>
      </c>
      <c r="AM10" s="111">
        <v>0.0</v>
      </c>
      <c r="AN10" s="111"/>
      <c r="AO10" s="111">
        <v>0.0</v>
      </c>
      <c r="AP10" s="111">
        <v>0.0</v>
      </c>
      <c r="AQ10" s="111">
        <v>0.0</v>
      </c>
      <c r="AR10" s="111"/>
      <c r="AS10" s="31"/>
      <c r="AT10" s="127" t="s">
        <v>56</v>
      </c>
      <c r="CQ10" s="31"/>
      <c r="CR10" s="61">
        <v>10000.0</v>
      </c>
      <c r="CS10" s="12"/>
      <c r="CT10" s="13"/>
      <c r="CU10" s="77" t="s">
        <v>57</v>
      </c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5"/>
      <c r="DH10" s="80">
        <f>sum(DH9+'Александр'!BF11)</f>
        <v>0</v>
      </c>
      <c r="DI10" s="74"/>
      <c r="DJ10" s="75"/>
      <c r="DK10" s="128">
        <v>80000.0</v>
      </c>
      <c r="DL10" s="74"/>
      <c r="DM10" s="75"/>
      <c r="DN10" s="129">
        <v>10000.0</v>
      </c>
      <c r="DO10" s="74"/>
      <c r="DP10" s="75"/>
      <c r="DQ10" s="130"/>
      <c r="DR10" s="74"/>
      <c r="DS10" s="75"/>
      <c r="DT10" s="131">
        <f>DH10*100/DK10</f>
        <v>0</v>
      </c>
      <c r="DU10" s="74"/>
      <c r="DV10" s="75"/>
      <c r="DW10" s="80">
        <f>(DK10-DH10)/'График'!AK4</f>
        <v>3478.26087</v>
      </c>
      <c r="DX10" s="74"/>
      <c r="DY10" s="75"/>
      <c r="DZ10" s="31"/>
      <c r="EA10" s="83" t="s">
        <v>58</v>
      </c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5"/>
      <c r="EO10" s="81">
        <f>DH7*100/DH5</f>
        <v>0</v>
      </c>
      <c r="EP10" s="75"/>
      <c r="EQ10" s="69"/>
      <c r="ER10" s="60"/>
      <c r="ES10" s="31"/>
      <c r="ET10" s="102" t="s">
        <v>59</v>
      </c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5"/>
      <c r="FJ10" s="85">
        <f>if(DH10&gt;=DK10,FJ9+DN10,if(DH10&lt;DK10,FJ9))-HG12</f>
        <v>7500</v>
      </c>
      <c r="FK10" s="74"/>
      <c r="FL10" s="75"/>
      <c r="FM10" s="31"/>
      <c r="FN10" s="92" t="s">
        <v>60</v>
      </c>
      <c r="FO10" s="74"/>
      <c r="FP10" s="74"/>
      <c r="FQ10" s="74"/>
      <c r="FR10" s="74"/>
      <c r="FS10" s="74"/>
      <c r="FT10" s="74"/>
      <c r="FU10" s="74"/>
      <c r="FV10" s="74"/>
      <c r="FW10" s="74"/>
      <c r="FX10" s="74"/>
      <c r="FY10" s="75"/>
      <c r="FZ10" s="116">
        <v>1500.0</v>
      </c>
      <c r="GA10" s="75"/>
      <c r="GB10" s="118"/>
      <c r="GC10" s="118"/>
      <c r="GD10" s="118"/>
      <c r="GE10" s="118"/>
      <c r="GF10" s="118"/>
      <c r="GG10" s="118"/>
      <c r="GH10" s="118"/>
      <c r="GI10" s="119"/>
      <c r="GJ10" s="119"/>
      <c r="GK10" s="118"/>
      <c r="GL10" s="119"/>
      <c r="GM10" s="119"/>
      <c r="GN10" s="119"/>
      <c r="GO10" s="118"/>
      <c r="GP10" s="118"/>
      <c r="GQ10" s="118"/>
      <c r="GR10" s="118"/>
      <c r="GS10" s="118"/>
      <c r="GT10" s="118"/>
      <c r="GU10" s="118"/>
      <c r="GV10" s="118"/>
      <c r="GW10" s="118"/>
      <c r="GX10" s="118"/>
      <c r="GY10" s="118"/>
      <c r="GZ10" s="118"/>
      <c r="HA10" s="119"/>
      <c r="HB10" s="118"/>
      <c r="HC10" s="118"/>
      <c r="HD10" s="118"/>
      <c r="HE10" s="118"/>
      <c r="HF10" s="118"/>
      <c r="HG10" s="107">
        <f t="shared" si="5"/>
        <v>0</v>
      </c>
      <c r="HH10" s="74"/>
      <c r="HI10" s="75"/>
      <c r="HJ10" s="108"/>
    </row>
    <row r="11" ht="15.0" customHeight="1">
      <c r="A11" s="54"/>
      <c r="C11" s="120"/>
      <c r="D11" s="83" t="s">
        <v>48</v>
      </c>
      <c r="E11" s="74"/>
      <c r="F11" s="74"/>
      <c r="G11" s="74"/>
      <c r="H11" s="74"/>
      <c r="I11" s="74"/>
      <c r="J11" s="74"/>
      <c r="K11" s="74"/>
      <c r="L11" s="74"/>
      <c r="M11" s="75"/>
      <c r="N11" s="111"/>
      <c r="O11" s="112"/>
      <c r="P11" s="112"/>
      <c r="Q11" s="111"/>
      <c r="R11" s="111"/>
      <c r="S11" s="111"/>
      <c r="T11" s="111"/>
      <c r="U11" s="112"/>
      <c r="V11" s="111">
        <v>0.0</v>
      </c>
      <c r="W11" s="111">
        <v>0.0</v>
      </c>
      <c r="X11" s="111">
        <v>0.0</v>
      </c>
      <c r="Y11" s="111">
        <v>0.0</v>
      </c>
      <c r="Z11" s="111"/>
      <c r="AA11" s="111">
        <v>0.0</v>
      </c>
      <c r="AB11" s="111">
        <v>0.0</v>
      </c>
      <c r="AC11" s="111">
        <v>0.0</v>
      </c>
      <c r="AD11" s="111">
        <v>0.0</v>
      </c>
      <c r="AE11" s="111">
        <v>0.0</v>
      </c>
      <c r="AF11" s="111">
        <v>0.0</v>
      </c>
      <c r="AG11" s="112"/>
      <c r="AH11" s="111">
        <v>0.0</v>
      </c>
      <c r="AI11" s="111">
        <v>0.0</v>
      </c>
      <c r="AJ11" s="111">
        <v>0.0</v>
      </c>
      <c r="AK11" s="111">
        <v>0.0</v>
      </c>
      <c r="AL11" s="111">
        <v>0.0</v>
      </c>
      <c r="AM11" s="111">
        <v>0.0</v>
      </c>
      <c r="AN11" s="111"/>
      <c r="AO11" s="111">
        <v>0.0</v>
      </c>
      <c r="AP11" s="111">
        <v>0.0</v>
      </c>
      <c r="AQ11" s="111">
        <v>0.0</v>
      </c>
      <c r="AR11" s="111"/>
      <c r="AS11" s="31"/>
      <c r="AT11" s="132" t="s">
        <v>9</v>
      </c>
      <c r="AU11" s="27"/>
      <c r="AV11" s="27"/>
      <c r="AW11" s="28"/>
      <c r="AX11" s="133" t="s">
        <v>61</v>
      </c>
      <c r="AY11" s="134"/>
      <c r="AZ11" s="135"/>
      <c r="BA11" s="133" t="s">
        <v>62</v>
      </c>
      <c r="BB11" s="134"/>
      <c r="BC11" s="135"/>
      <c r="BD11" s="133" t="s">
        <v>63</v>
      </c>
      <c r="BE11" s="134"/>
      <c r="BF11" s="135"/>
      <c r="BG11" s="133" t="s">
        <v>64</v>
      </c>
      <c r="BH11" s="134"/>
      <c r="BI11" s="135"/>
      <c r="BJ11" s="133" t="s">
        <v>65</v>
      </c>
      <c r="BK11" s="134"/>
      <c r="BL11" s="135"/>
      <c r="BM11" s="133" t="s">
        <v>66</v>
      </c>
      <c r="BN11" s="134"/>
      <c r="BO11" s="135"/>
      <c r="BP11" s="133" t="s">
        <v>67</v>
      </c>
      <c r="BQ11" s="134"/>
      <c r="BR11" s="135"/>
      <c r="BS11" s="133" t="s">
        <v>68</v>
      </c>
      <c r="BT11" s="134"/>
      <c r="BU11" s="135"/>
      <c r="BV11" s="133" t="s">
        <v>69</v>
      </c>
      <c r="BW11" s="134"/>
      <c r="BX11" s="135"/>
      <c r="BY11" s="133" t="s">
        <v>69</v>
      </c>
      <c r="BZ11" s="134"/>
      <c r="CA11" s="135"/>
      <c r="CB11" s="133" t="s">
        <v>69</v>
      </c>
      <c r="CC11" s="134"/>
      <c r="CD11" s="135"/>
      <c r="CE11" s="133" t="s">
        <v>69</v>
      </c>
      <c r="CF11" s="134"/>
      <c r="CG11" s="135"/>
      <c r="CH11" s="133" t="s">
        <v>69</v>
      </c>
      <c r="CI11" s="134"/>
      <c r="CJ11" s="135"/>
      <c r="CK11" s="133" t="s">
        <v>69</v>
      </c>
      <c r="CL11" s="134"/>
      <c r="CM11" s="135"/>
      <c r="CN11" s="133" t="s">
        <v>69</v>
      </c>
      <c r="CO11" s="134"/>
      <c r="CP11" s="135"/>
      <c r="CQ11" s="31"/>
      <c r="CR11" s="61">
        <v>0.0</v>
      </c>
      <c r="CS11" s="12"/>
      <c r="CT11" s="13"/>
      <c r="CU11" s="77" t="s">
        <v>70</v>
      </c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5"/>
      <c r="DH11" s="80">
        <f>DK9-DH9</f>
        <v>20000</v>
      </c>
      <c r="DI11" s="74"/>
      <c r="DJ11" s="75"/>
      <c r="DK11" s="136"/>
      <c r="DL11" s="136"/>
      <c r="DM11" s="136"/>
      <c r="DN11" s="136"/>
      <c r="DO11" s="136"/>
      <c r="DP11" s="136"/>
      <c r="DQ11" s="136"/>
      <c r="DR11" s="136"/>
      <c r="DS11" s="136"/>
      <c r="DT11" s="136"/>
      <c r="DU11" s="136"/>
      <c r="DV11" s="136"/>
      <c r="DW11" s="136"/>
      <c r="DX11" s="136"/>
      <c r="DY11" s="137"/>
      <c r="DZ11" s="31"/>
      <c r="EA11" s="83" t="s">
        <v>71</v>
      </c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5"/>
      <c r="EO11" s="81">
        <f>DH7*100/DH6</f>
        <v>0</v>
      </c>
      <c r="EP11" s="75"/>
      <c r="EQ11" s="69"/>
      <c r="ER11" s="60"/>
      <c r="ES11" s="31"/>
      <c r="ET11" s="138"/>
      <c r="EU11" s="138"/>
      <c r="EV11" s="138"/>
      <c r="EW11" s="138"/>
      <c r="EX11" s="138"/>
      <c r="EY11" s="138"/>
      <c r="EZ11" s="138"/>
      <c r="FA11" s="138"/>
      <c r="FB11" s="138"/>
      <c r="FC11" s="138"/>
      <c r="FD11" s="138"/>
      <c r="FE11" s="138"/>
      <c r="FF11" s="138"/>
      <c r="FG11" s="138"/>
      <c r="FH11" s="139" t="s">
        <v>24</v>
      </c>
      <c r="FI11" s="75"/>
      <c r="FJ11" s="140">
        <f>sum(FJ10+FJ7+FJ8+FJ6)</f>
        <v>21500</v>
      </c>
      <c r="FK11" s="74"/>
      <c r="FL11" s="75"/>
      <c r="FM11" s="31"/>
      <c r="FN11" s="83" t="s">
        <v>72</v>
      </c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5"/>
      <c r="FZ11" s="116">
        <v>1000.0</v>
      </c>
      <c r="GA11" s="74"/>
      <c r="GB11" s="141"/>
      <c r="GC11" s="142"/>
      <c r="GD11" s="141"/>
      <c r="GE11" s="141"/>
      <c r="GF11" s="141"/>
      <c r="GG11" s="141"/>
      <c r="GH11" s="142"/>
      <c r="GI11" s="141"/>
      <c r="GJ11" s="141"/>
      <c r="GK11" s="141"/>
      <c r="GL11" s="142"/>
      <c r="GM11" s="141"/>
      <c r="GN11" s="142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07">
        <f t="shared" si="5"/>
        <v>0</v>
      </c>
      <c r="HH11" s="74"/>
      <c r="HI11" s="75"/>
      <c r="HJ11" s="108"/>
    </row>
    <row r="12" ht="15.0" customHeight="1">
      <c r="A12" s="54"/>
      <c r="C12" s="120"/>
      <c r="D12" s="143" t="s">
        <v>52</v>
      </c>
      <c r="E12" s="134"/>
      <c r="F12" s="134"/>
      <c r="G12" s="134"/>
      <c r="H12" s="134"/>
      <c r="I12" s="134"/>
      <c r="J12" s="134"/>
      <c r="K12" s="134"/>
      <c r="L12" s="134"/>
      <c r="M12" s="135"/>
      <c r="N12" s="144"/>
      <c r="O12" s="145"/>
      <c r="P12" s="145"/>
      <c r="Q12" s="144"/>
      <c r="R12" s="144"/>
      <c r="S12" s="144"/>
      <c r="T12" s="144"/>
      <c r="U12" s="145"/>
      <c r="V12" s="144">
        <v>0.0</v>
      </c>
      <c r="W12" s="144">
        <v>0.0</v>
      </c>
      <c r="X12" s="144">
        <v>0.0</v>
      </c>
      <c r="Y12" s="144">
        <v>0.0</v>
      </c>
      <c r="Z12" s="144"/>
      <c r="AA12" s="144">
        <v>0.0</v>
      </c>
      <c r="AB12" s="144">
        <v>0.0</v>
      </c>
      <c r="AC12" s="144">
        <v>0.0</v>
      </c>
      <c r="AD12" s="144">
        <v>0.0</v>
      </c>
      <c r="AE12" s="144">
        <v>0.0</v>
      </c>
      <c r="AF12" s="144">
        <v>0.0</v>
      </c>
      <c r="AG12" s="145"/>
      <c r="AH12" s="144">
        <v>0.0</v>
      </c>
      <c r="AI12" s="144">
        <v>0.0</v>
      </c>
      <c r="AJ12" s="144">
        <v>0.0</v>
      </c>
      <c r="AK12" s="144">
        <v>0.0</v>
      </c>
      <c r="AL12" s="144">
        <v>0.0</v>
      </c>
      <c r="AM12" s="144">
        <v>0.0</v>
      </c>
      <c r="AN12" s="144"/>
      <c r="AO12" s="144">
        <v>0.0</v>
      </c>
      <c r="AP12" s="144">
        <v>0.0</v>
      </c>
      <c r="AQ12" s="144">
        <v>0.0</v>
      </c>
      <c r="AR12" s="144"/>
      <c r="AS12" s="31"/>
      <c r="AT12" s="57"/>
      <c r="AU12" s="39"/>
      <c r="AV12" s="39"/>
      <c r="AW12" s="40"/>
      <c r="AX12" s="58"/>
      <c r="AY12" s="59"/>
      <c r="AZ12" s="60"/>
      <c r="BA12" s="58"/>
      <c r="BB12" s="59"/>
      <c r="BC12" s="60"/>
      <c r="BD12" s="58"/>
      <c r="BE12" s="59"/>
      <c r="BF12" s="60"/>
      <c r="BG12" s="58"/>
      <c r="BH12" s="59"/>
      <c r="BI12" s="60"/>
      <c r="BJ12" s="58"/>
      <c r="BK12" s="59"/>
      <c r="BL12" s="60"/>
      <c r="BM12" s="58"/>
      <c r="BN12" s="59"/>
      <c r="BO12" s="60"/>
      <c r="BP12" s="58"/>
      <c r="BQ12" s="59"/>
      <c r="BR12" s="60"/>
      <c r="BS12" s="58"/>
      <c r="BT12" s="59"/>
      <c r="BU12" s="60"/>
      <c r="BV12" s="58"/>
      <c r="BW12" s="59"/>
      <c r="BX12" s="60"/>
      <c r="BY12" s="58"/>
      <c r="BZ12" s="59"/>
      <c r="CA12" s="60"/>
      <c r="CB12" s="58"/>
      <c r="CC12" s="59"/>
      <c r="CD12" s="60"/>
      <c r="CE12" s="58"/>
      <c r="CF12" s="59"/>
      <c r="CG12" s="60"/>
      <c r="CH12" s="58"/>
      <c r="CI12" s="59"/>
      <c r="CJ12" s="60"/>
      <c r="CK12" s="58"/>
      <c r="CL12" s="59"/>
      <c r="CM12" s="60"/>
      <c r="CN12" s="58"/>
      <c r="CO12" s="59"/>
      <c r="CP12" s="60"/>
      <c r="CQ12" s="31"/>
      <c r="CR12" s="61">
        <v>0.0</v>
      </c>
      <c r="CS12" s="12"/>
      <c r="CT12" s="13"/>
      <c r="CU12" s="77" t="s">
        <v>73</v>
      </c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5"/>
      <c r="DH12" s="80" t="str">
        <f>DH9/DH7</f>
        <v>#DIV/0!</v>
      </c>
      <c r="DI12" s="74"/>
      <c r="DJ12" s="75"/>
      <c r="DK12" s="136"/>
      <c r="DL12" s="136"/>
      <c r="DM12" s="136"/>
      <c r="DN12" s="136"/>
      <c r="DO12" s="136"/>
      <c r="DP12" s="136"/>
      <c r="DQ12" s="136"/>
      <c r="DR12" s="136"/>
      <c r="DS12" s="136"/>
      <c r="DT12" s="136"/>
      <c r="DU12" s="136"/>
      <c r="DV12" s="136"/>
      <c r="DW12" s="136"/>
      <c r="DX12" s="136"/>
      <c r="DY12" s="136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146"/>
      <c r="EP12" s="146"/>
      <c r="EQ12" s="147"/>
      <c r="ER12" s="147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9"/>
      <c r="GC12" s="149"/>
      <c r="GD12" s="149"/>
      <c r="GE12" s="149"/>
      <c r="GF12" s="149"/>
      <c r="GG12" s="149"/>
      <c r="GH12" s="149"/>
      <c r="GI12" s="149"/>
      <c r="GJ12" s="149"/>
      <c r="GK12" s="149"/>
      <c r="GL12" s="149"/>
      <c r="GM12" s="149"/>
      <c r="GN12" s="149"/>
      <c r="GO12" s="149"/>
      <c r="GP12" s="149"/>
      <c r="GQ12" s="149"/>
      <c r="GR12" s="149"/>
      <c r="GS12" s="149"/>
      <c r="GT12" s="149"/>
      <c r="GU12" s="149"/>
      <c r="GV12" s="149"/>
      <c r="GW12" s="149"/>
      <c r="GX12" s="149"/>
      <c r="GY12" s="149"/>
      <c r="GZ12" s="136"/>
      <c r="HA12" s="136"/>
      <c r="HB12" s="136"/>
      <c r="HC12" s="136"/>
      <c r="HD12" s="136"/>
      <c r="HE12" s="150" t="s">
        <v>24</v>
      </c>
      <c r="HF12" s="75"/>
      <c r="HG12" s="151">
        <f>sum(HG6:HG11)</f>
        <v>0</v>
      </c>
      <c r="HH12" s="74"/>
      <c r="HI12" s="75"/>
      <c r="HJ12" s="152"/>
    </row>
    <row r="13" ht="15.0" customHeight="1">
      <c r="A13" s="54"/>
      <c r="C13" s="120"/>
      <c r="D13" s="153"/>
      <c r="M13" s="35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31"/>
      <c r="AT13" s="72" t="s">
        <v>21</v>
      </c>
      <c r="AU13" s="27"/>
      <c r="AV13" s="27"/>
      <c r="AW13" s="28"/>
      <c r="AX13" s="155">
        <v>5000.0</v>
      </c>
      <c r="AY13" s="74"/>
      <c r="AZ13" s="75"/>
      <c r="BA13" s="156">
        <v>10000.0</v>
      </c>
      <c r="BB13" s="74"/>
      <c r="BC13" s="75"/>
      <c r="BD13" s="156">
        <v>10000.0</v>
      </c>
      <c r="BE13" s="74"/>
      <c r="BF13" s="75"/>
      <c r="BG13" s="156">
        <v>10000.0</v>
      </c>
      <c r="BH13" s="74"/>
      <c r="BI13" s="75"/>
      <c r="BJ13" s="156">
        <v>10000.0</v>
      </c>
      <c r="BK13" s="74"/>
      <c r="BL13" s="75"/>
      <c r="BM13" s="156">
        <v>5000.0</v>
      </c>
      <c r="BN13" s="74"/>
      <c r="BO13" s="75"/>
      <c r="BP13" s="156">
        <v>10000.0</v>
      </c>
      <c r="BQ13" s="74"/>
      <c r="BR13" s="75"/>
      <c r="BS13" s="156">
        <v>10000.0</v>
      </c>
      <c r="BT13" s="74"/>
      <c r="BU13" s="75"/>
      <c r="BV13" s="156"/>
      <c r="BW13" s="74"/>
      <c r="BX13" s="75"/>
      <c r="BY13" s="156"/>
      <c r="BZ13" s="74"/>
      <c r="CA13" s="75"/>
      <c r="CB13" s="156"/>
      <c r="CC13" s="74"/>
      <c r="CD13" s="75"/>
      <c r="CE13" s="156"/>
      <c r="CF13" s="74"/>
      <c r="CG13" s="75"/>
      <c r="CH13" s="156"/>
      <c r="CI13" s="74"/>
      <c r="CJ13" s="75"/>
      <c r="CK13" s="156"/>
      <c r="CL13" s="74"/>
      <c r="CM13" s="75"/>
      <c r="CN13" s="156"/>
      <c r="CO13" s="74"/>
      <c r="CP13" s="75"/>
      <c r="CQ13" s="31"/>
      <c r="CR13" s="61">
        <v>0.0</v>
      </c>
      <c r="CS13" s="12"/>
      <c r="CT13" s="13"/>
      <c r="CU13" s="77" t="s">
        <v>74</v>
      </c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5"/>
      <c r="DH13" s="78"/>
      <c r="DI13" s="74"/>
      <c r="DJ13" s="75"/>
      <c r="DK13" s="136"/>
      <c r="DL13" s="136"/>
      <c r="DM13" s="136"/>
      <c r="DN13" s="136"/>
      <c r="DO13" s="136"/>
      <c r="DP13" s="136"/>
      <c r="DQ13" s="136"/>
      <c r="DR13" s="136"/>
      <c r="DS13" s="136"/>
      <c r="DT13" s="136"/>
      <c r="DU13" s="136"/>
      <c r="DV13" s="136"/>
      <c r="DW13" s="136"/>
      <c r="DX13" s="136"/>
      <c r="DY13" s="136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146"/>
      <c r="EP13" s="146"/>
      <c r="EQ13" s="147"/>
      <c r="ER13" s="147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148"/>
      <c r="GR13" s="148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157"/>
      <c r="HH13" s="158"/>
      <c r="HI13" s="31"/>
      <c r="HJ13" s="31"/>
    </row>
    <row r="14" ht="15.0" customHeight="1">
      <c r="A14" s="54"/>
      <c r="C14" s="120"/>
      <c r="D14" s="153"/>
      <c r="M14" s="35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31"/>
      <c r="AT14" s="159">
        <v>20.0</v>
      </c>
      <c r="AU14" s="5"/>
      <c r="AV14" s="5"/>
      <c r="AW14" s="160" t="s">
        <v>37</v>
      </c>
      <c r="AX14" s="161">
        <f>AX13*AT14/100</f>
        <v>1000</v>
      </c>
      <c r="AY14" s="74"/>
      <c r="AZ14" s="75"/>
      <c r="BA14" s="161">
        <f>BA13*AT14/100</f>
        <v>2000</v>
      </c>
      <c r="BB14" s="74"/>
      <c r="BC14" s="75"/>
      <c r="BD14" s="161">
        <f>BD13*AT14/100</f>
        <v>2000</v>
      </c>
      <c r="BE14" s="74"/>
      <c r="BF14" s="75"/>
      <c r="BG14" s="161">
        <f>BG13*AT14/100</f>
        <v>2000</v>
      </c>
      <c r="BH14" s="74"/>
      <c r="BI14" s="75"/>
      <c r="BJ14" s="161">
        <f>BJ13*AT14/100</f>
        <v>2000</v>
      </c>
      <c r="BK14" s="74"/>
      <c r="BL14" s="75"/>
      <c r="BM14" s="161">
        <f>BM13*AT14/100</f>
        <v>1000</v>
      </c>
      <c r="BN14" s="74"/>
      <c r="BO14" s="75"/>
      <c r="BP14" s="161">
        <f>BP13*AT14/100</f>
        <v>2000</v>
      </c>
      <c r="BQ14" s="74"/>
      <c r="BR14" s="75"/>
      <c r="BS14" s="161">
        <f>BS13*AT14/100</f>
        <v>2000</v>
      </c>
      <c r="BT14" s="74"/>
      <c r="BU14" s="75"/>
      <c r="BV14" s="161">
        <f>BV13*AT14/100</f>
        <v>0</v>
      </c>
      <c r="BW14" s="74"/>
      <c r="BX14" s="75"/>
      <c r="BY14" s="161">
        <f>BY13*AT14/100</f>
        <v>0</v>
      </c>
      <c r="BZ14" s="74"/>
      <c r="CA14" s="75"/>
      <c r="CB14" s="161">
        <f>CB13*AT14/100</f>
        <v>0</v>
      </c>
      <c r="CC14" s="74"/>
      <c r="CD14" s="75"/>
      <c r="CE14" s="161">
        <f>CE13*AT14/100</f>
        <v>0</v>
      </c>
      <c r="CF14" s="74"/>
      <c r="CG14" s="75"/>
      <c r="CH14" s="161">
        <f>CH13*AT14/100</f>
        <v>0</v>
      </c>
      <c r="CI14" s="74"/>
      <c r="CJ14" s="75"/>
      <c r="CK14" s="161">
        <f>CK13*AT14/100</f>
        <v>0</v>
      </c>
      <c r="CL14" s="74"/>
      <c r="CM14" s="75"/>
      <c r="CN14" s="161">
        <f>CN13*AT14/100</f>
        <v>0</v>
      </c>
      <c r="CO14" s="74"/>
      <c r="CP14" s="75"/>
      <c r="CQ14" s="31"/>
      <c r="CR14" s="61">
        <v>0.0</v>
      </c>
      <c r="CS14" s="12"/>
      <c r="CT14" s="13"/>
      <c r="CU14" s="77" t="s">
        <v>75</v>
      </c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5"/>
      <c r="DH14" s="80"/>
      <c r="DI14" s="74"/>
      <c r="DJ14" s="75"/>
      <c r="DK14" s="136"/>
      <c r="DL14" s="136"/>
      <c r="DM14" s="136"/>
      <c r="DN14" s="136"/>
      <c r="DO14" s="136"/>
      <c r="DP14" s="136"/>
      <c r="DQ14" s="136"/>
      <c r="DR14" s="136"/>
      <c r="DS14" s="136"/>
      <c r="DT14" s="136"/>
      <c r="DU14" s="136"/>
      <c r="DV14" s="136"/>
      <c r="DW14" s="136"/>
      <c r="DX14" s="136"/>
      <c r="DY14" s="136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146"/>
      <c r="EP14" s="146"/>
      <c r="EQ14" s="147"/>
      <c r="ER14" s="147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148"/>
      <c r="GR14" s="148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157"/>
      <c r="HH14" s="158"/>
      <c r="HI14" s="31"/>
      <c r="HJ14" s="31"/>
    </row>
    <row r="15" ht="15.0" customHeight="1">
      <c r="A15" s="162"/>
      <c r="B15" s="163"/>
      <c r="C15" s="120"/>
      <c r="D15" s="58"/>
      <c r="E15" s="59"/>
      <c r="F15" s="59"/>
      <c r="G15" s="59"/>
      <c r="H15" s="59"/>
      <c r="I15" s="59"/>
      <c r="J15" s="59"/>
      <c r="K15" s="59"/>
      <c r="L15" s="59"/>
      <c r="M15" s="60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31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65"/>
      <c r="CM15" s="165"/>
      <c r="CN15" s="165"/>
      <c r="CO15" s="165"/>
      <c r="CP15" s="165"/>
      <c r="CQ15" s="31"/>
      <c r="CR15" s="61">
        <v>15000.0</v>
      </c>
      <c r="CS15" s="12"/>
      <c r="CT15" s="13"/>
      <c r="CU15" s="77" t="s">
        <v>76</v>
      </c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5"/>
      <c r="DH15" s="82" t="str">
        <f>(DH7/DH8)</f>
        <v>#DIV/0!</v>
      </c>
      <c r="DI15" s="74"/>
      <c r="DJ15" s="75"/>
      <c r="DK15" s="136"/>
      <c r="DL15" s="136"/>
      <c r="DM15" s="136"/>
      <c r="DN15" s="136"/>
      <c r="DO15" s="136"/>
      <c r="DP15" s="136"/>
      <c r="DQ15" s="136"/>
      <c r="DR15" s="136"/>
      <c r="DS15" s="136"/>
      <c r="DT15" s="136"/>
      <c r="DU15" s="136"/>
      <c r="DV15" s="136"/>
      <c r="DW15" s="136"/>
      <c r="DX15" s="136"/>
      <c r="DY15" s="136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146"/>
      <c r="EP15" s="146"/>
      <c r="EQ15" s="147"/>
      <c r="ER15" s="147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148"/>
      <c r="GR15" s="148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157"/>
      <c r="HH15" s="158"/>
      <c r="HI15" s="31"/>
      <c r="HJ15" s="31"/>
    </row>
    <row r="16" ht="15.0" customHeight="1">
      <c r="A16" s="166"/>
      <c r="B16" s="167"/>
      <c r="C16" s="168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170"/>
      <c r="AU16" s="148"/>
      <c r="AV16" s="148"/>
      <c r="AW16" s="148"/>
      <c r="AX16" s="171"/>
      <c r="AY16" s="148"/>
      <c r="AZ16" s="148"/>
      <c r="BA16" s="171"/>
      <c r="BB16" s="148"/>
      <c r="BC16" s="148"/>
      <c r="BD16" s="171"/>
      <c r="BE16" s="148"/>
      <c r="BF16" s="148"/>
      <c r="BG16" s="171"/>
      <c r="BH16" s="148"/>
      <c r="BI16" s="148"/>
      <c r="BJ16" s="171"/>
      <c r="BK16" s="148"/>
      <c r="BL16" s="148"/>
      <c r="BM16" s="171"/>
      <c r="BN16" s="148"/>
      <c r="BO16" s="148"/>
      <c r="BP16" s="171"/>
      <c r="BQ16" s="148"/>
      <c r="BR16" s="148"/>
      <c r="BS16" s="171"/>
      <c r="BT16" s="148"/>
      <c r="BU16" s="148"/>
      <c r="BV16" s="171"/>
      <c r="BW16" s="148"/>
      <c r="BX16" s="148"/>
      <c r="BY16" s="171"/>
      <c r="BZ16" s="148"/>
      <c r="CA16" s="148"/>
      <c r="CB16" s="171"/>
      <c r="CC16" s="148"/>
      <c r="CD16" s="148"/>
      <c r="CE16" s="171"/>
      <c r="CF16" s="148"/>
      <c r="CG16" s="148"/>
      <c r="CH16" s="171"/>
      <c r="CI16" s="148"/>
      <c r="CJ16" s="148"/>
      <c r="CK16" s="171"/>
      <c r="CL16" s="148"/>
      <c r="CM16" s="148"/>
      <c r="CN16" s="171"/>
      <c r="CO16" s="148"/>
      <c r="CP16" s="148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146"/>
      <c r="EP16" s="146"/>
      <c r="EQ16" s="172"/>
      <c r="ER16" s="172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148"/>
      <c r="GR16" s="148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157"/>
      <c r="HH16" s="158"/>
      <c r="HI16" s="31"/>
      <c r="HJ16" s="31"/>
    </row>
    <row r="17" ht="15.0" customHeight="1">
      <c r="A17" s="167"/>
      <c r="B17" s="167"/>
      <c r="C17" s="173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5"/>
      <c r="AY17" s="174"/>
      <c r="AZ17" s="174"/>
      <c r="BA17" s="175"/>
      <c r="BB17" s="174"/>
      <c r="BC17" s="174"/>
      <c r="BD17" s="175"/>
      <c r="BE17" s="174"/>
      <c r="BF17" s="174"/>
      <c r="BG17" s="175"/>
      <c r="BH17" s="174"/>
      <c r="BI17" s="174"/>
      <c r="BJ17" s="175"/>
      <c r="BK17" s="174"/>
      <c r="BL17" s="174"/>
      <c r="BM17" s="175"/>
      <c r="BN17" s="174"/>
      <c r="BO17" s="174"/>
      <c r="BP17" s="175"/>
      <c r="BQ17" s="174"/>
      <c r="BR17" s="174"/>
      <c r="BS17" s="175"/>
      <c r="BT17" s="174"/>
      <c r="BU17" s="174"/>
      <c r="BV17" s="175"/>
      <c r="BW17" s="174"/>
      <c r="BX17" s="174"/>
      <c r="BY17" s="175"/>
      <c r="BZ17" s="174"/>
      <c r="CA17" s="174"/>
      <c r="CB17" s="175"/>
      <c r="CC17" s="174"/>
      <c r="CD17" s="174"/>
      <c r="CE17" s="175"/>
      <c r="CF17" s="174"/>
      <c r="CG17" s="174"/>
      <c r="CH17" s="175"/>
      <c r="CI17" s="174"/>
      <c r="CJ17" s="174"/>
      <c r="CK17" s="175"/>
      <c r="CL17" s="174"/>
      <c r="CM17" s="174"/>
      <c r="CN17" s="175"/>
      <c r="CO17" s="174"/>
      <c r="CP17" s="174"/>
      <c r="CQ17" s="174"/>
      <c r="CR17" s="174"/>
      <c r="CS17" s="174"/>
      <c r="CT17" s="174"/>
      <c r="CU17" s="174"/>
      <c r="CV17" s="174"/>
      <c r="CW17" s="174"/>
      <c r="CX17" s="174"/>
      <c r="CY17" s="174"/>
      <c r="CZ17" s="174"/>
      <c r="DA17" s="174"/>
      <c r="DB17" s="174"/>
      <c r="DC17" s="174"/>
      <c r="DD17" s="174"/>
      <c r="DE17" s="174"/>
      <c r="DF17" s="174"/>
      <c r="DG17" s="174"/>
      <c r="DH17" s="174"/>
      <c r="DI17" s="174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4"/>
      <c r="EB17" s="174"/>
      <c r="EC17" s="174"/>
      <c r="ED17" s="174"/>
      <c r="EE17" s="174"/>
      <c r="EF17" s="174"/>
      <c r="EG17" s="174"/>
      <c r="EH17" s="174"/>
      <c r="EI17" s="174"/>
      <c r="EJ17" s="174"/>
      <c r="EK17" s="174"/>
      <c r="EL17" s="174"/>
      <c r="EM17" s="174"/>
      <c r="EN17" s="174"/>
      <c r="EO17" s="176"/>
      <c r="EP17" s="176"/>
      <c r="EQ17" s="177"/>
      <c r="ER17" s="177"/>
      <c r="ES17" s="174"/>
      <c r="ET17" s="174"/>
      <c r="EU17" s="174"/>
      <c r="EV17" s="174"/>
      <c r="EW17" s="174"/>
      <c r="EX17" s="174"/>
      <c r="EY17" s="174"/>
      <c r="EZ17" s="174"/>
      <c r="FA17" s="174"/>
      <c r="FB17" s="174"/>
      <c r="FC17" s="174"/>
      <c r="FD17" s="174"/>
      <c r="FE17" s="174"/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  <c r="GH17" s="174"/>
      <c r="GI17" s="174"/>
      <c r="GJ17" s="174"/>
      <c r="GK17" s="174"/>
      <c r="GL17" s="174"/>
      <c r="GM17" s="174"/>
      <c r="GN17" s="174"/>
      <c r="GO17" s="174"/>
      <c r="GP17" s="174"/>
      <c r="GQ17" s="174"/>
      <c r="GR17" s="174"/>
      <c r="GS17" s="174"/>
      <c r="GT17" s="174"/>
      <c r="GU17" s="174"/>
      <c r="GV17" s="174"/>
      <c r="GW17" s="174"/>
      <c r="GX17" s="174"/>
      <c r="GY17" s="174"/>
      <c r="GZ17" s="174"/>
      <c r="HA17" s="174"/>
      <c r="HB17" s="174"/>
      <c r="HC17" s="174"/>
      <c r="HD17" s="174"/>
      <c r="HE17" s="174"/>
      <c r="HF17" s="174"/>
      <c r="HG17" s="178"/>
      <c r="HH17" s="179"/>
      <c r="HI17" s="174"/>
      <c r="HJ17" s="174"/>
    </row>
    <row r="18" ht="15.0" customHeight="1">
      <c r="A18" s="180"/>
      <c r="B18" s="181"/>
      <c r="C18" s="182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4"/>
      <c r="AU18" s="185"/>
      <c r="AV18" s="185"/>
      <c r="AW18" s="185"/>
      <c r="AX18" s="184"/>
      <c r="AY18" s="185"/>
      <c r="AZ18" s="185"/>
      <c r="BA18" s="184"/>
      <c r="BB18" s="185"/>
      <c r="BC18" s="185"/>
      <c r="BD18" s="184"/>
      <c r="BE18" s="185"/>
      <c r="BF18" s="185"/>
      <c r="BG18" s="184"/>
      <c r="BH18" s="185"/>
      <c r="BI18" s="185"/>
      <c r="BJ18" s="184"/>
      <c r="BK18" s="185"/>
      <c r="BL18" s="185"/>
      <c r="BM18" s="184"/>
      <c r="BN18" s="185"/>
      <c r="BO18" s="185"/>
      <c r="BP18" s="184"/>
      <c r="BQ18" s="185"/>
      <c r="BR18" s="185"/>
      <c r="BS18" s="184"/>
      <c r="BT18" s="185"/>
      <c r="BU18" s="185"/>
      <c r="BV18" s="184"/>
      <c r="BW18" s="185"/>
      <c r="BX18" s="185"/>
      <c r="BY18" s="184"/>
      <c r="BZ18" s="185"/>
      <c r="CA18" s="185"/>
      <c r="CB18" s="184"/>
      <c r="CC18" s="185"/>
      <c r="CD18" s="185"/>
      <c r="CE18" s="184"/>
      <c r="CF18" s="185"/>
      <c r="CG18" s="185"/>
      <c r="CH18" s="184"/>
      <c r="CI18" s="185"/>
      <c r="CJ18" s="185"/>
      <c r="CK18" s="184"/>
      <c r="CL18" s="185"/>
      <c r="CM18" s="185"/>
      <c r="CN18" s="184"/>
      <c r="CO18" s="185"/>
      <c r="CP18" s="185"/>
      <c r="CQ18" s="183"/>
      <c r="CR18" s="183"/>
      <c r="CS18" s="183"/>
      <c r="CT18" s="183"/>
      <c r="CU18" s="183"/>
      <c r="CV18" s="183"/>
      <c r="CW18" s="183"/>
      <c r="CX18" s="183"/>
      <c r="CY18" s="183"/>
      <c r="CZ18" s="183"/>
      <c r="DA18" s="183"/>
      <c r="DB18" s="183"/>
      <c r="DC18" s="183"/>
      <c r="DD18" s="183"/>
      <c r="DE18" s="183"/>
      <c r="DF18" s="183"/>
      <c r="DG18" s="183"/>
      <c r="DH18" s="183"/>
      <c r="DI18" s="183"/>
      <c r="DJ18" s="183"/>
      <c r="DK18" s="183"/>
      <c r="DL18" s="183"/>
      <c r="DM18" s="183"/>
      <c r="DN18" s="183"/>
      <c r="DO18" s="183"/>
      <c r="DP18" s="183"/>
      <c r="DQ18" s="183"/>
      <c r="DR18" s="183"/>
      <c r="DS18" s="183"/>
      <c r="DT18" s="183"/>
      <c r="DU18" s="183"/>
      <c r="DV18" s="183"/>
      <c r="DW18" s="183"/>
      <c r="DX18" s="183"/>
      <c r="DY18" s="183"/>
      <c r="DZ18" s="183"/>
      <c r="EA18" s="183"/>
      <c r="EB18" s="183"/>
      <c r="EC18" s="183"/>
      <c r="ED18" s="183"/>
      <c r="EE18" s="183"/>
      <c r="EF18" s="183"/>
      <c r="EG18" s="183"/>
      <c r="EH18" s="183"/>
      <c r="EI18" s="183"/>
      <c r="EJ18" s="183"/>
      <c r="EK18" s="183"/>
      <c r="EL18" s="183"/>
      <c r="EM18" s="183"/>
      <c r="EN18" s="183"/>
      <c r="EO18" s="186"/>
      <c r="EP18" s="186"/>
      <c r="EQ18" s="187"/>
      <c r="ER18" s="187"/>
      <c r="ES18" s="183"/>
      <c r="ET18" s="183"/>
      <c r="EU18" s="183"/>
      <c r="EV18" s="183"/>
      <c r="EW18" s="183"/>
      <c r="EX18" s="183"/>
      <c r="EY18" s="183"/>
      <c r="EZ18" s="183"/>
      <c r="FA18" s="183"/>
      <c r="FB18" s="183"/>
      <c r="FC18" s="183"/>
      <c r="FD18" s="183"/>
      <c r="FE18" s="183"/>
      <c r="FF18" s="183"/>
      <c r="FG18" s="183"/>
      <c r="FH18" s="183"/>
      <c r="FI18" s="183"/>
      <c r="FJ18" s="183"/>
      <c r="FK18" s="183"/>
      <c r="FL18" s="183"/>
      <c r="FM18" s="183"/>
      <c r="FN18" s="183"/>
      <c r="FO18" s="183"/>
      <c r="FP18" s="183"/>
      <c r="FQ18" s="183"/>
      <c r="FR18" s="183"/>
      <c r="FS18" s="183"/>
      <c r="FT18" s="183"/>
      <c r="FU18" s="183"/>
      <c r="FV18" s="183"/>
      <c r="FW18" s="183"/>
      <c r="FX18" s="183"/>
      <c r="FY18" s="183"/>
      <c r="FZ18" s="183"/>
      <c r="GA18" s="183"/>
      <c r="GB18" s="183"/>
      <c r="GC18" s="183"/>
      <c r="GD18" s="183"/>
      <c r="GE18" s="183"/>
      <c r="GF18" s="183"/>
      <c r="GG18" s="183"/>
      <c r="GH18" s="183"/>
      <c r="GI18" s="183"/>
      <c r="GJ18" s="183"/>
      <c r="GK18" s="183"/>
      <c r="GL18" s="183"/>
      <c r="GM18" s="183"/>
      <c r="GN18" s="183"/>
      <c r="GO18" s="183"/>
      <c r="GP18" s="183"/>
      <c r="GQ18" s="183"/>
      <c r="GR18" s="183"/>
      <c r="GS18" s="183"/>
      <c r="GT18" s="183"/>
      <c r="GU18" s="183"/>
      <c r="GV18" s="183"/>
      <c r="GW18" s="183"/>
      <c r="GX18" s="183"/>
      <c r="GY18" s="183"/>
      <c r="GZ18" s="183"/>
      <c r="HA18" s="183"/>
      <c r="HB18" s="183"/>
      <c r="HC18" s="183"/>
      <c r="HD18" s="183"/>
      <c r="HE18" s="183"/>
      <c r="HF18" s="183"/>
      <c r="HG18" s="188"/>
      <c r="HH18" s="188"/>
      <c r="HI18" s="183"/>
      <c r="HJ18" s="183"/>
    </row>
    <row r="19" ht="15.0" customHeight="1">
      <c r="A19" s="189"/>
      <c r="B19" s="190"/>
      <c r="C19" s="191"/>
      <c r="D19" s="192" t="s">
        <v>0</v>
      </c>
      <c r="AS19" s="193"/>
      <c r="AT19" s="194" t="s">
        <v>1</v>
      </c>
      <c r="CQ19" s="193"/>
      <c r="CR19" s="195" t="s">
        <v>2</v>
      </c>
      <c r="DZ19" s="193"/>
      <c r="EA19" s="192" t="s">
        <v>3</v>
      </c>
      <c r="ES19" s="193"/>
      <c r="ET19" s="192" t="s">
        <v>4</v>
      </c>
      <c r="FM19" s="193"/>
      <c r="FN19" s="195" t="s">
        <v>77</v>
      </c>
      <c r="HG19" s="196"/>
      <c r="HH19" s="196"/>
      <c r="HI19" s="197"/>
      <c r="HJ19" s="198"/>
    </row>
    <row r="20" ht="15.0" customHeight="1">
      <c r="A20" s="23" t="s">
        <v>78</v>
      </c>
      <c r="B20" s="24"/>
      <c r="C20" s="25"/>
      <c r="D20" s="26" t="s">
        <v>7</v>
      </c>
      <c r="E20" s="27"/>
      <c r="F20" s="27"/>
      <c r="G20" s="27"/>
      <c r="H20" s="27"/>
      <c r="I20" s="27"/>
      <c r="J20" s="27"/>
      <c r="K20" s="27"/>
      <c r="L20" s="28"/>
      <c r="M20" s="29" t="s">
        <v>8</v>
      </c>
      <c r="N20" s="30">
        <v>44896.0</v>
      </c>
      <c r="O20" s="30">
        <v>44897.0</v>
      </c>
      <c r="P20" s="30">
        <v>44898.0</v>
      </c>
      <c r="Q20" s="30">
        <v>44899.0</v>
      </c>
      <c r="R20" s="30">
        <v>44900.0</v>
      </c>
      <c r="S20" s="30">
        <v>44901.0</v>
      </c>
      <c r="T20" s="30">
        <v>44902.0</v>
      </c>
      <c r="U20" s="30">
        <v>44903.0</v>
      </c>
      <c r="V20" s="30">
        <v>44904.0</v>
      </c>
      <c r="W20" s="30">
        <v>44905.0</v>
      </c>
      <c r="X20" s="30">
        <v>44906.0</v>
      </c>
      <c r="Y20" s="30">
        <v>44907.0</v>
      </c>
      <c r="Z20" s="30">
        <v>44908.0</v>
      </c>
      <c r="AA20" s="30">
        <v>44909.0</v>
      </c>
      <c r="AB20" s="30">
        <v>44910.0</v>
      </c>
      <c r="AC20" s="30">
        <v>44911.0</v>
      </c>
      <c r="AD20" s="30">
        <v>44912.0</v>
      </c>
      <c r="AE20" s="30">
        <v>44913.0</v>
      </c>
      <c r="AF20" s="30">
        <v>44914.0</v>
      </c>
      <c r="AG20" s="30">
        <v>44915.0</v>
      </c>
      <c r="AH20" s="30">
        <v>44916.0</v>
      </c>
      <c r="AI20" s="30">
        <v>44917.0</v>
      </c>
      <c r="AJ20" s="30">
        <v>44918.0</v>
      </c>
      <c r="AK20" s="30">
        <v>44919.0</v>
      </c>
      <c r="AL20" s="30">
        <v>44920.0</v>
      </c>
      <c r="AM20" s="30">
        <v>44921.0</v>
      </c>
      <c r="AN20" s="30">
        <v>44922.0</v>
      </c>
      <c r="AO20" s="30">
        <v>44923.0</v>
      </c>
      <c r="AP20" s="30">
        <v>44924.0</v>
      </c>
      <c r="AQ20" s="30">
        <v>44925.0</v>
      </c>
      <c r="AR20" s="30">
        <v>44926.0</v>
      </c>
      <c r="AS20" s="31"/>
      <c r="AT20" s="132" t="s">
        <v>9</v>
      </c>
      <c r="AU20" s="27"/>
      <c r="AV20" s="27"/>
      <c r="AW20" s="28"/>
      <c r="AX20" s="199" t="s">
        <v>79</v>
      </c>
      <c r="AY20" s="134"/>
      <c r="AZ20" s="135"/>
      <c r="BA20" s="199"/>
      <c r="BB20" s="134"/>
      <c r="BC20" s="135"/>
      <c r="BD20" s="199"/>
      <c r="BE20" s="134"/>
      <c r="BF20" s="135"/>
      <c r="BG20" s="199"/>
      <c r="BH20" s="134"/>
      <c r="BI20" s="135"/>
      <c r="BJ20" s="200"/>
      <c r="BK20" s="134"/>
      <c r="BL20" s="135"/>
      <c r="BM20" s="200"/>
      <c r="BN20" s="134"/>
      <c r="BO20" s="135"/>
      <c r="BP20" s="200"/>
      <c r="BQ20" s="134"/>
      <c r="BR20" s="135"/>
      <c r="BS20" s="200"/>
      <c r="BT20" s="134"/>
      <c r="BU20" s="135"/>
      <c r="BV20" s="200"/>
      <c r="BW20" s="134"/>
      <c r="BX20" s="135"/>
      <c r="BY20" s="200"/>
      <c r="BZ20" s="134"/>
      <c r="CA20" s="135"/>
      <c r="CB20" s="200"/>
      <c r="CC20" s="134"/>
      <c r="CD20" s="135"/>
      <c r="CE20" s="200"/>
      <c r="CF20" s="134"/>
      <c r="CG20" s="135"/>
      <c r="CH20" s="200"/>
      <c r="CI20" s="134"/>
      <c r="CJ20" s="135"/>
      <c r="CK20" s="200"/>
      <c r="CL20" s="134"/>
      <c r="CM20" s="135"/>
      <c r="CN20" s="200"/>
      <c r="CO20" s="134"/>
      <c r="CP20" s="135"/>
      <c r="CQ20" s="31"/>
      <c r="CR20" s="37" t="s">
        <v>10</v>
      </c>
      <c r="CS20" s="12"/>
      <c r="CT20" s="13"/>
      <c r="CU20" s="201" t="s">
        <v>11</v>
      </c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6"/>
      <c r="DH20" s="202" t="s">
        <v>12</v>
      </c>
      <c r="DI20" s="5"/>
      <c r="DJ20" s="6"/>
      <c r="DK20" s="202" t="s">
        <v>13</v>
      </c>
      <c r="DL20" s="5"/>
      <c r="DM20" s="6"/>
      <c r="DN20" s="203" t="s">
        <v>14</v>
      </c>
      <c r="DO20" s="5"/>
      <c r="DP20" s="6"/>
      <c r="DQ20" s="204" t="s">
        <v>15</v>
      </c>
      <c r="DR20" s="5"/>
      <c r="DS20" s="6"/>
      <c r="DT20" s="203" t="s">
        <v>16</v>
      </c>
      <c r="DU20" s="5"/>
      <c r="DV20" s="6"/>
      <c r="DW20" s="205" t="s">
        <v>17</v>
      </c>
      <c r="DX20" s="5"/>
      <c r="DY20" s="6"/>
      <c r="DZ20" s="31"/>
      <c r="EA20" s="206" t="s">
        <v>18</v>
      </c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6"/>
      <c r="EO20" s="207" t="s">
        <v>12</v>
      </c>
      <c r="EP20" s="6"/>
      <c r="EQ20" s="208" t="s">
        <v>19</v>
      </c>
      <c r="ER20" s="6"/>
      <c r="ES20" s="31"/>
      <c r="ET20" s="206" t="s">
        <v>20</v>
      </c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6"/>
      <c r="FJ20" s="209" t="s">
        <v>21</v>
      </c>
      <c r="FK20" s="5"/>
      <c r="FL20" s="6"/>
      <c r="FM20" s="31"/>
      <c r="FN20" s="49" t="s">
        <v>22</v>
      </c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8"/>
      <c r="FZ20" s="50" t="s">
        <v>23</v>
      </c>
      <c r="GA20" s="28"/>
      <c r="GB20" s="210">
        <v>44317.0</v>
      </c>
      <c r="GC20" s="210">
        <v>44318.0</v>
      </c>
      <c r="GD20" s="210">
        <v>44319.0</v>
      </c>
      <c r="GE20" s="210">
        <v>44320.0</v>
      </c>
      <c r="GF20" s="210">
        <v>44321.0</v>
      </c>
      <c r="GG20" s="210">
        <v>44322.0</v>
      </c>
      <c r="GH20" s="210">
        <v>44323.0</v>
      </c>
      <c r="GI20" s="210">
        <v>44324.0</v>
      </c>
      <c r="GJ20" s="210">
        <v>44325.0</v>
      </c>
      <c r="GK20" s="210">
        <v>44326.0</v>
      </c>
      <c r="GL20" s="210">
        <v>44327.0</v>
      </c>
      <c r="GM20" s="210">
        <v>44328.0</v>
      </c>
      <c r="GN20" s="210">
        <v>44329.0</v>
      </c>
      <c r="GO20" s="210">
        <v>44330.0</v>
      </c>
      <c r="GP20" s="210">
        <v>44331.0</v>
      </c>
      <c r="GQ20" s="210">
        <v>44332.0</v>
      </c>
      <c r="GR20" s="210">
        <v>44333.0</v>
      </c>
      <c r="GS20" s="210">
        <v>44334.0</v>
      </c>
      <c r="GT20" s="210">
        <v>44335.0</v>
      </c>
      <c r="GU20" s="210">
        <v>44336.0</v>
      </c>
      <c r="GV20" s="210">
        <v>44337.0</v>
      </c>
      <c r="GW20" s="210">
        <v>44338.0</v>
      </c>
      <c r="GX20" s="210">
        <v>44339.0</v>
      </c>
      <c r="GY20" s="210">
        <v>44340.0</v>
      </c>
      <c r="GZ20" s="210">
        <v>44341.0</v>
      </c>
      <c r="HA20" s="210">
        <v>44342.0</v>
      </c>
      <c r="HB20" s="210">
        <v>44343.0</v>
      </c>
      <c r="HC20" s="210">
        <v>44344.0</v>
      </c>
      <c r="HD20" s="210">
        <v>44345.0</v>
      </c>
      <c r="HE20" s="210">
        <v>44346.0</v>
      </c>
      <c r="HF20" s="210">
        <v>44347.0</v>
      </c>
      <c r="HG20" s="52" t="s">
        <v>24</v>
      </c>
      <c r="HJ20" s="53"/>
    </row>
    <row r="21" ht="15.0" customHeight="1">
      <c r="A21" s="54"/>
      <c r="C21" s="25"/>
      <c r="D21" s="55"/>
      <c r="L21" s="33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31"/>
      <c r="AT21" s="57"/>
      <c r="AU21" s="39"/>
      <c r="AV21" s="39"/>
      <c r="AW21" s="40"/>
      <c r="AX21" s="58"/>
      <c r="AY21" s="59"/>
      <c r="AZ21" s="60"/>
      <c r="BA21" s="58"/>
      <c r="BB21" s="59"/>
      <c r="BC21" s="60"/>
      <c r="BD21" s="58"/>
      <c r="BE21" s="59"/>
      <c r="BF21" s="60"/>
      <c r="BG21" s="58"/>
      <c r="BH21" s="59"/>
      <c r="BI21" s="60"/>
      <c r="BJ21" s="58"/>
      <c r="BK21" s="59"/>
      <c r="BL21" s="60"/>
      <c r="BM21" s="58"/>
      <c r="BN21" s="59"/>
      <c r="BO21" s="60"/>
      <c r="BP21" s="58"/>
      <c r="BQ21" s="59"/>
      <c r="BR21" s="60"/>
      <c r="BS21" s="58"/>
      <c r="BT21" s="59"/>
      <c r="BU21" s="60"/>
      <c r="BV21" s="58"/>
      <c r="BW21" s="59"/>
      <c r="BX21" s="60"/>
      <c r="BY21" s="58"/>
      <c r="BZ21" s="59"/>
      <c r="CA21" s="60"/>
      <c r="CB21" s="58"/>
      <c r="CC21" s="59"/>
      <c r="CD21" s="60"/>
      <c r="CE21" s="58"/>
      <c r="CF21" s="59"/>
      <c r="CG21" s="60"/>
      <c r="CH21" s="58"/>
      <c r="CI21" s="59"/>
      <c r="CJ21" s="60"/>
      <c r="CK21" s="58"/>
      <c r="CL21" s="59"/>
      <c r="CM21" s="60"/>
      <c r="CN21" s="58"/>
      <c r="CO21" s="59"/>
      <c r="CP21" s="60"/>
      <c r="CQ21" s="31"/>
      <c r="CR21" s="61">
        <v>0.0</v>
      </c>
      <c r="CS21" s="12"/>
      <c r="CT21" s="13"/>
      <c r="CU21" s="62" t="s">
        <v>25</v>
      </c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60"/>
      <c r="DH21" s="63">
        <f t="shared" ref="DH21:DH26" si="6">SUM(N24:AR24)</f>
        <v>32</v>
      </c>
      <c r="DI21" s="59"/>
      <c r="DJ21" s="60"/>
      <c r="DK21" s="64">
        <v>50.0</v>
      </c>
      <c r="DL21" s="59"/>
      <c r="DM21" s="60"/>
      <c r="DN21" s="65">
        <v>0.0</v>
      </c>
      <c r="DO21" s="59"/>
      <c r="DP21" s="60"/>
      <c r="DQ21" s="211">
        <v>0.0</v>
      </c>
      <c r="DR21" s="59"/>
      <c r="DS21" s="60"/>
      <c r="DT21" s="66">
        <v>0.0</v>
      </c>
      <c r="DU21" s="59"/>
      <c r="DV21" s="60"/>
      <c r="DW21" s="67">
        <f>(DK21-DH21)/'График'!AK8</f>
        <v>0.7826086957</v>
      </c>
      <c r="DX21" s="59"/>
      <c r="DY21" s="60"/>
      <c r="DZ21" s="31"/>
      <c r="EA21" s="68" t="s">
        <v>26</v>
      </c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60"/>
      <c r="EO21" s="66">
        <f>DH23*100/DH21</f>
        <v>15.625</v>
      </c>
      <c r="EP21" s="60"/>
      <c r="EQ21" s="66">
        <f>((DH23*100/DH21)+EO3)/2</f>
        <v>24.76165254</v>
      </c>
      <c r="ER21" s="60"/>
      <c r="ES21" s="31"/>
      <c r="ET21" s="70" t="s">
        <v>27</v>
      </c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60"/>
      <c r="FJ21" s="71">
        <f>HG30</f>
        <v>0</v>
      </c>
      <c r="FK21" s="59"/>
      <c r="FL21" s="60"/>
      <c r="FM21" s="31"/>
      <c r="FN21" s="55"/>
      <c r="FY21" s="33"/>
      <c r="FZ21" s="55"/>
      <c r="GA21" s="33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J21" s="53"/>
    </row>
    <row r="22" ht="15.0" customHeight="1">
      <c r="A22" s="54"/>
      <c r="C22" s="25"/>
      <c r="D22" s="55"/>
      <c r="L22" s="33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31"/>
      <c r="AT22" s="72" t="s">
        <v>21</v>
      </c>
      <c r="AU22" s="27"/>
      <c r="AV22" s="27"/>
      <c r="AW22" s="28"/>
      <c r="AX22" s="73">
        <v>20000.0</v>
      </c>
      <c r="AY22" s="74"/>
      <c r="AZ22" s="75"/>
      <c r="BA22" s="73"/>
      <c r="BB22" s="74"/>
      <c r="BC22" s="75"/>
      <c r="BD22" s="73"/>
      <c r="BE22" s="74"/>
      <c r="BF22" s="75"/>
      <c r="BG22" s="73"/>
      <c r="BH22" s="74"/>
      <c r="BI22" s="75"/>
      <c r="BJ22" s="76"/>
      <c r="BK22" s="74"/>
      <c r="BL22" s="75"/>
      <c r="BM22" s="76"/>
      <c r="BN22" s="74"/>
      <c r="BO22" s="75"/>
      <c r="BP22" s="76"/>
      <c r="BQ22" s="74"/>
      <c r="BR22" s="75"/>
      <c r="BS22" s="76"/>
      <c r="BT22" s="74"/>
      <c r="BU22" s="75"/>
      <c r="BV22" s="76"/>
      <c r="BW22" s="74"/>
      <c r="BX22" s="75"/>
      <c r="BY22" s="76"/>
      <c r="BZ22" s="74"/>
      <c r="CA22" s="75"/>
      <c r="CB22" s="76"/>
      <c r="CC22" s="74"/>
      <c r="CD22" s="75"/>
      <c r="CE22" s="76"/>
      <c r="CF22" s="74"/>
      <c r="CG22" s="75"/>
      <c r="CH22" s="76"/>
      <c r="CI22" s="74"/>
      <c r="CJ22" s="75"/>
      <c r="CK22" s="76"/>
      <c r="CL22" s="74"/>
      <c r="CM22" s="75"/>
      <c r="CN22" s="76"/>
      <c r="CO22" s="74"/>
      <c r="CP22" s="75"/>
      <c r="CQ22" s="31"/>
      <c r="CR22" s="61">
        <v>0.0</v>
      </c>
      <c r="CS22" s="12"/>
      <c r="CT22" s="13"/>
      <c r="CU22" s="77" t="s">
        <v>28</v>
      </c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5"/>
      <c r="DH22" s="78">
        <f t="shared" si="6"/>
        <v>241</v>
      </c>
      <c r="DI22" s="74"/>
      <c r="DJ22" s="75"/>
      <c r="DK22" s="79">
        <v>190.0</v>
      </c>
      <c r="DL22" s="74"/>
      <c r="DM22" s="75"/>
      <c r="DN22" s="80">
        <f t="shared" ref="DN22:DN25" si="7">2500*DT22/100</f>
        <v>2500</v>
      </c>
      <c r="DO22" s="74"/>
      <c r="DP22" s="75"/>
      <c r="DQ22" s="78">
        <f t="shared" ref="DQ22:DQ25" si="8">IF(DH22&lt;DK22,DH22,IF(DH22&gt;=DK22,DK22))</f>
        <v>190</v>
      </c>
      <c r="DR22" s="74"/>
      <c r="DS22" s="75"/>
      <c r="DT22" s="81">
        <f t="shared" ref="DT22:DT25" si="9">DQ22*100/DK22</f>
        <v>100</v>
      </c>
      <c r="DU22" s="74"/>
      <c r="DV22" s="75"/>
      <c r="DW22" s="82">
        <f>(DK22-DH22)/'График'!AK8</f>
        <v>-2.217391304</v>
      </c>
      <c r="DX22" s="74"/>
      <c r="DY22" s="75"/>
      <c r="DZ22" s="31"/>
      <c r="EA22" s="83" t="s">
        <v>29</v>
      </c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5"/>
      <c r="EO22" s="81">
        <f>DH24*100/DH21</f>
        <v>15.625</v>
      </c>
      <c r="EP22" s="75"/>
      <c r="EQ22" s="81">
        <f>((DH23*100/DH21)+EO4)/2</f>
        <v>15.43961864</v>
      </c>
      <c r="ER22" s="75"/>
      <c r="ES22" s="31"/>
      <c r="ET22" s="84" t="s">
        <v>30</v>
      </c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5"/>
      <c r="FJ22" s="85">
        <f>sum(DN22:DP25,DN27)</f>
        <v>11410.71429</v>
      </c>
      <c r="FK22" s="74"/>
      <c r="FL22" s="75"/>
      <c r="FM22" s="31"/>
      <c r="FN22" s="55"/>
      <c r="FY22" s="33"/>
      <c r="FZ22" s="55"/>
      <c r="GA22" s="33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J22" s="53"/>
    </row>
    <row r="23" ht="15.0" customHeight="1">
      <c r="A23" s="54"/>
      <c r="C23" s="25"/>
      <c r="D23" s="57"/>
      <c r="E23" s="39"/>
      <c r="F23" s="39"/>
      <c r="G23" s="39"/>
      <c r="H23" s="39"/>
      <c r="I23" s="39"/>
      <c r="J23" s="39"/>
      <c r="K23" s="39"/>
      <c r="L23" s="40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31"/>
      <c r="AT23" s="87" t="s">
        <v>31</v>
      </c>
      <c r="AU23" s="88"/>
      <c r="AV23" s="88"/>
      <c r="AW23" s="89"/>
      <c r="AX23" s="90">
        <v>1.0</v>
      </c>
      <c r="AY23" s="59"/>
      <c r="AZ23" s="60"/>
      <c r="BA23" s="90">
        <v>2.0</v>
      </c>
      <c r="BB23" s="59"/>
      <c r="BC23" s="60"/>
      <c r="BD23" s="90">
        <v>3.0</v>
      </c>
      <c r="BE23" s="59"/>
      <c r="BF23" s="60"/>
      <c r="BG23" s="90">
        <v>4.0</v>
      </c>
      <c r="BH23" s="59"/>
      <c r="BI23" s="60"/>
      <c r="BJ23" s="90">
        <v>5.0</v>
      </c>
      <c r="BK23" s="59"/>
      <c r="BL23" s="60"/>
      <c r="BM23" s="90">
        <v>6.0</v>
      </c>
      <c r="BN23" s="59"/>
      <c r="BO23" s="60"/>
      <c r="BP23" s="90">
        <v>7.0</v>
      </c>
      <c r="BQ23" s="59"/>
      <c r="BR23" s="60"/>
      <c r="BS23" s="90">
        <v>8.0</v>
      </c>
      <c r="BT23" s="59"/>
      <c r="BU23" s="60"/>
      <c r="BV23" s="90">
        <v>9.0</v>
      </c>
      <c r="BW23" s="59"/>
      <c r="BX23" s="60"/>
      <c r="BY23" s="90">
        <v>10.0</v>
      </c>
      <c r="BZ23" s="59"/>
      <c r="CA23" s="60"/>
      <c r="CB23" s="90">
        <v>11.0</v>
      </c>
      <c r="CC23" s="59"/>
      <c r="CD23" s="60"/>
      <c r="CE23" s="90">
        <v>12.0</v>
      </c>
      <c r="CF23" s="59"/>
      <c r="CG23" s="60"/>
      <c r="CH23" s="90">
        <v>13.0</v>
      </c>
      <c r="CI23" s="59"/>
      <c r="CJ23" s="60"/>
      <c r="CK23" s="90">
        <v>14.0</v>
      </c>
      <c r="CL23" s="59"/>
      <c r="CM23" s="60"/>
      <c r="CN23" s="90">
        <v>15.0</v>
      </c>
      <c r="CO23" s="59"/>
      <c r="CP23" s="60"/>
      <c r="CQ23" s="31"/>
      <c r="CR23" s="61">
        <v>0.0</v>
      </c>
      <c r="CS23" s="12"/>
      <c r="CT23" s="13"/>
      <c r="CU23" s="91" t="s">
        <v>32</v>
      </c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5"/>
      <c r="DH23" s="78">
        <f t="shared" si="6"/>
        <v>5</v>
      </c>
      <c r="DI23" s="74"/>
      <c r="DJ23" s="75"/>
      <c r="DK23" s="79">
        <v>20.0</v>
      </c>
      <c r="DL23" s="74"/>
      <c r="DM23" s="75"/>
      <c r="DN23" s="80">
        <f t="shared" si="7"/>
        <v>625</v>
      </c>
      <c r="DO23" s="74"/>
      <c r="DP23" s="75"/>
      <c r="DQ23" s="78">
        <f t="shared" si="8"/>
        <v>5</v>
      </c>
      <c r="DR23" s="74"/>
      <c r="DS23" s="75"/>
      <c r="DT23" s="81">
        <f t="shared" si="9"/>
        <v>25</v>
      </c>
      <c r="DU23" s="74"/>
      <c r="DV23" s="75"/>
      <c r="DW23" s="82">
        <f>(DK23-DH23)/'График'!AK8</f>
        <v>0.652173913</v>
      </c>
      <c r="DX23" s="74"/>
      <c r="DY23" s="75"/>
      <c r="DZ23" s="31"/>
      <c r="EA23" s="92" t="s">
        <v>33</v>
      </c>
      <c r="EB23" s="74"/>
      <c r="EC23" s="74"/>
      <c r="ED23" s="74"/>
      <c r="EE23" s="74"/>
      <c r="EF23" s="74"/>
      <c r="EG23" s="74"/>
      <c r="EH23" s="74"/>
      <c r="EI23" s="74"/>
      <c r="EJ23" s="74"/>
      <c r="EK23" s="74"/>
      <c r="EL23" s="74"/>
      <c r="EM23" s="74"/>
      <c r="EN23" s="75"/>
      <c r="EO23" s="81">
        <f>DH25*100/DH21</f>
        <v>6.25</v>
      </c>
      <c r="EP23" s="75"/>
      <c r="EQ23" s="81">
        <f>((DH25*100/DH21)+EO5)/2</f>
        <v>3.125</v>
      </c>
      <c r="ER23" s="75"/>
      <c r="ES23" s="31"/>
      <c r="ET23" s="84" t="s">
        <v>34</v>
      </c>
      <c r="EU23" s="74"/>
      <c r="EV23" s="74"/>
      <c r="EW23" s="74"/>
      <c r="EX23" s="74"/>
      <c r="EY23" s="74"/>
      <c r="EZ23" s="74"/>
      <c r="FA23" s="74"/>
      <c r="FB23" s="74"/>
      <c r="FC23" s="74"/>
      <c r="FD23" s="74"/>
      <c r="FE23" s="74"/>
      <c r="FF23" s="74"/>
      <c r="FG23" s="74"/>
      <c r="FH23" s="74"/>
      <c r="FI23" s="75"/>
      <c r="FJ23" s="93">
        <f>sum(DT22,DT23,DT24,DT25,DT27)/5</f>
        <v>75.28571429</v>
      </c>
      <c r="FK23" s="74"/>
      <c r="FL23" s="75"/>
      <c r="FM23" s="31"/>
      <c r="FN23" s="57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40"/>
      <c r="FZ23" s="57"/>
      <c r="GA23" s="40"/>
      <c r="GB23" s="86"/>
      <c r="GC23" s="86"/>
      <c r="GD23" s="86"/>
      <c r="GE23" s="86"/>
      <c r="GF23" s="86"/>
      <c r="GG23" s="86"/>
      <c r="GH23" s="86"/>
      <c r="GI23" s="86"/>
      <c r="GJ23" s="86"/>
      <c r="GK23" s="86"/>
      <c r="GL23" s="86"/>
      <c r="GM23" s="86"/>
      <c r="GN23" s="86"/>
      <c r="GO23" s="86"/>
      <c r="GP23" s="86"/>
      <c r="GQ23" s="86"/>
      <c r="GR23" s="86"/>
      <c r="GS23" s="86"/>
      <c r="GT23" s="86"/>
      <c r="GU23" s="86"/>
      <c r="GV23" s="86"/>
      <c r="GW23" s="86"/>
      <c r="GX23" s="86"/>
      <c r="GY23" s="86"/>
      <c r="GZ23" s="86"/>
      <c r="HA23" s="86"/>
      <c r="HB23" s="86"/>
      <c r="HC23" s="86"/>
      <c r="HD23" s="86"/>
      <c r="HE23" s="86"/>
      <c r="HF23" s="86"/>
      <c r="HJ23" s="53"/>
    </row>
    <row r="24" ht="15.0" customHeight="1">
      <c r="A24" s="54"/>
      <c r="C24" s="94"/>
      <c r="D24" s="95" t="s">
        <v>35</v>
      </c>
      <c r="E24" s="59"/>
      <c r="F24" s="59"/>
      <c r="G24" s="59"/>
      <c r="H24" s="59"/>
      <c r="I24" s="59"/>
      <c r="J24" s="59"/>
      <c r="K24" s="59"/>
      <c r="L24" s="59"/>
      <c r="M24" s="60"/>
      <c r="N24" s="96">
        <v>0.0</v>
      </c>
      <c r="O24" s="96">
        <v>0.0</v>
      </c>
      <c r="P24" s="96">
        <v>0.0</v>
      </c>
      <c r="Q24" s="96"/>
      <c r="R24" s="96">
        <v>8.0</v>
      </c>
      <c r="S24" s="96">
        <v>1.0</v>
      </c>
      <c r="T24" s="96">
        <v>4.0</v>
      </c>
      <c r="U24" s="96">
        <v>1.0</v>
      </c>
      <c r="V24" s="96">
        <v>1.0</v>
      </c>
      <c r="W24" s="96">
        <v>0.0</v>
      </c>
      <c r="X24" s="96">
        <v>5.0</v>
      </c>
      <c r="Y24" s="96">
        <v>5.0</v>
      </c>
      <c r="Z24" s="96">
        <v>6.0</v>
      </c>
      <c r="AA24" s="96">
        <v>0.0</v>
      </c>
      <c r="AB24" s="96">
        <v>1.0</v>
      </c>
      <c r="AC24" s="96"/>
      <c r="AD24" s="96"/>
      <c r="AE24" s="97"/>
      <c r="AF24" s="97"/>
      <c r="AG24" s="96">
        <v>0.0</v>
      </c>
      <c r="AH24" s="96">
        <v>0.0</v>
      </c>
      <c r="AI24" s="96">
        <v>0.0</v>
      </c>
      <c r="AJ24" s="96">
        <v>0.0</v>
      </c>
      <c r="AK24" s="96">
        <v>0.0</v>
      </c>
      <c r="AL24" s="96"/>
      <c r="AM24" s="96">
        <v>0.0</v>
      </c>
      <c r="AN24" s="96">
        <v>0.0</v>
      </c>
      <c r="AO24" s="96">
        <v>0.0</v>
      </c>
      <c r="AP24" s="96">
        <v>0.0</v>
      </c>
      <c r="AQ24" s="96">
        <v>0.0</v>
      </c>
      <c r="AR24" s="97"/>
      <c r="AS24" s="31"/>
      <c r="AT24" s="98" t="s">
        <v>36</v>
      </c>
      <c r="AU24" s="5"/>
      <c r="AV24" s="5"/>
      <c r="AW24" s="99" t="s">
        <v>37</v>
      </c>
      <c r="AX24" s="101"/>
      <c r="AY24" s="59"/>
      <c r="AZ24" s="60"/>
      <c r="BA24" s="101"/>
      <c r="BB24" s="59"/>
      <c r="BC24" s="60"/>
      <c r="BD24" s="101">
        <v>10.0</v>
      </c>
      <c r="BE24" s="59"/>
      <c r="BF24" s="60"/>
      <c r="BG24" s="101">
        <v>10.0</v>
      </c>
      <c r="BH24" s="59"/>
      <c r="BI24" s="60"/>
      <c r="BJ24" s="101">
        <v>10.0</v>
      </c>
      <c r="BK24" s="59"/>
      <c r="BL24" s="60"/>
      <c r="BM24" s="101">
        <v>10.0</v>
      </c>
      <c r="BN24" s="59"/>
      <c r="BO24" s="60"/>
      <c r="BP24" s="101">
        <v>10.0</v>
      </c>
      <c r="BQ24" s="59"/>
      <c r="BR24" s="60"/>
      <c r="BS24" s="101">
        <v>10.0</v>
      </c>
      <c r="BT24" s="59"/>
      <c r="BU24" s="60"/>
      <c r="BV24" s="101">
        <v>10.0</v>
      </c>
      <c r="BW24" s="59"/>
      <c r="BX24" s="60"/>
      <c r="BY24" s="101">
        <v>10.0</v>
      </c>
      <c r="BZ24" s="59"/>
      <c r="CA24" s="60"/>
      <c r="CB24" s="101">
        <v>10.0</v>
      </c>
      <c r="CC24" s="59"/>
      <c r="CD24" s="60"/>
      <c r="CE24" s="101">
        <v>10.0</v>
      </c>
      <c r="CF24" s="59"/>
      <c r="CG24" s="60"/>
      <c r="CH24" s="101">
        <v>10.0</v>
      </c>
      <c r="CI24" s="59"/>
      <c r="CJ24" s="60"/>
      <c r="CK24" s="101">
        <v>10.0</v>
      </c>
      <c r="CL24" s="59"/>
      <c r="CM24" s="60"/>
      <c r="CN24" s="101">
        <v>10.0</v>
      </c>
      <c r="CO24" s="59"/>
      <c r="CP24" s="60"/>
      <c r="CQ24" s="31"/>
      <c r="CR24" s="61">
        <v>10000.0</v>
      </c>
      <c r="CS24" s="12"/>
      <c r="CT24" s="13"/>
      <c r="CU24" s="91" t="s">
        <v>38</v>
      </c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5"/>
      <c r="DH24" s="78">
        <f t="shared" si="6"/>
        <v>5</v>
      </c>
      <c r="DI24" s="74"/>
      <c r="DJ24" s="75"/>
      <c r="DK24" s="79">
        <v>7.0</v>
      </c>
      <c r="DL24" s="74"/>
      <c r="DM24" s="75"/>
      <c r="DN24" s="80">
        <f t="shared" si="7"/>
        <v>1785.714286</v>
      </c>
      <c r="DO24" s="74"/>
      <c r="DP24" s="75"/>
      <c r="DQ24" s="78">
        <f t="shared" si="8"/>
        <v>5</v>
      </c>
      <c r="DR24" s="74"/>
      <c r="DS24" s="75"/>
      <c r="DT24" s="81">
        <f t="shared" si="9"/>
        <v>71.42857143</v>
      </c>
      <c r="DU24" s="74"/>
      <c r="DV24" s="75"/>
      <c r="DW24" s="82">
        <f>(DK24-DH24)/'График'!AK8</f>
        <v>0.08695652174</v>
      </c>
      <c r="DX24" s="74"/>
      <c r="DY24" s="75"/>
      <c r="DZ24" s="31"/>
      <c r="EA24" s="83" t="s">
        <v>39</v>
      </c>
      <c r="EB24" s="74"/>
      <c r="EC24" s="74"/>
      <c r="ED24" s="74"/>
      <c r="EE24" s="74"/>
      <c r="EF24" s="74"/>
      <c r="EG24" s="74"/>
      <c r="EH24" s="74"/>
      <c r="EI24" s="74"/>
      <c r="EJ24" s="74"/>
      <c r="EK24" s="74"/>
      <c r="EL24" s="74"/>
      <c r="EM24" s="74"/>
      <c r="EN24" s="75"/>
      <c r="EO24" s="81">
        <f>DH23*100/DH22</f>
        <v>2.074688797</v>
      </c>
      <c r="EP24" s="75"/>
      <c r="EQ24" s="81">
        <f>((DH23*100/DH22)+EO6)/2</f>
        <v>6.11348653</v>
      </c>
      <c r="ER24" s="75"/>
      <c r="ES24" s="31"/>
      <c r="ET24" s="102" t="s">
        <v>40</v>
      </c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5"/>
      <c r="FJ24" s="85">
        <f>sum(AX32:CP32)</f>
        <v>7000</v>
      </c>
      <c r="FK24" s="74"/>
      <c r="FL24" s="75"/>
      <c r="FM24" s="31"/>
      <c r="FN24" s="95" t="s">
        <v>41</v>
      </c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60"/>
      <c r="FZ24" s="103">
        <v>200.0</v>
      </c>
      <c r="GA24" s="60"/>
      <c r="GB24" s="106"/>
      <c r="GC24" s="105"/>
      <c r="GD24" s="106"/>
      <c r="GE24" s="105"/>
      <c r="GF24" s="105"/>
      <c r="GG24" s="106"/>
      <c r="GH24" s="105"/>
      <c r="GI24" s="105"/>
      <c r="GJ24" s="105"/>
      <c r="GK24" s="106"/>
      <c r="GL24" s="106"/>
      <c r="GM24" s="105"/>
      <c r="GN24" s="106"/>
      <c r="GO24" s="105"/>
      <c r="GP24" s="105"/>
      <c r="GQ24" s="106"/>
      <c r="GR24" s="106"/>
      <c r="GS24" s="105"/>
      <c r="GT24" s="105"/>
      <c r="GU24" s="106"/>
      <c r="GV24" s="105"/>
      <c r="GW24" s="105"/>
      <c r="GX24" s="105"/>
      <c r="GY24" s="106"/>
      <c r="GZ24" s="105"/>
      <c r="HA24" s="105"/>
      <c r="HB24" s="105"/>
      <c r="HC24" s="106"/>
      <c r="HD24" s="105"/>
      <c r="HE24" s="105"/>
      <c r="HF24" s="105"/>
      <c r="HG24" s="107">
        <f t="shared" ref="HG24:HG29" si="10">sum(GB24:HF24)*FZ24</f>
        <v>0</v>
      </c>
      <c r="HH24" s="74"/>
      <c r="HI24" s="75"/>
      <c r="HJ24" s="108"/>
    </row>
    <row r="25" ht="15.0" customHeight="1">
      <c r="A25" s="54"/>
      <c r="C25" s="109"/>
      <c r="D25" s="110" t="s">
        <v>42</v>
      </c>
      <c r="E25" s="74"/>
      <c r="F25" s="74"/>
      <c r="G25" s="74"/>
      <c r="H25" s="74"/>
      <c r="I25" s="74"/>
      <c r="J25" s="74"/>
      <c r="K25" s="74"/>
      <c r="L25" s="74"/>
      <c r="M25" s="75"/>
      <c r="N25" s="111">
        <v>16.0</v>
      </c>
      <c r="O25" s="111">
        <v>12.0</v>
      </c>
      <c r="P25" s="111">
        <v>5.0</v>
      </c>
      <c r="Q25" s="111"/>
      <c r="R25" s="111">
        <v>11.0</v>
      </c>
      <c r="S25" s="111">
        <v>11.0</v>
      </c>
      <c r="T25" s="111">
        <v>13.0</v>
      </c>
      <c r="U25" s="111">
        <v>16.0</v>
      </c>
      <c r="V25" s="111">
        <v>16.0</v>
      </c>
      <c r="W25" s="111">
        <v>15.0</v>
      </c>
      <c r="X25" s="111">
        <v>17.0</v>
      </c>
      <c r="Y25" s="111">
        <v>17.0</v>
      </c>
      <c r="Z25" s="111">
        <v>9.0</v>
      </c>
      <c r="AA25" s="111">
        <v>7.0</v>
      </c>
      <c r="AB25" s="111">
        <v>9.0</v>
      </c>
      <c r="AC25" s="111"/>
      <c r="AD25" s="111"/>
      <c r="AE25" s="112"/>
      <c r="AF25" s="112"/>
      <c r="AG25" s="111">
        <v>18.0</v>
      </c>
      <c r="AH25" s="111">
        <v>8.0</v>
      </c>
      <c r="AI25" s="111">
        <v>8.0</v>
      </c>
      <c r="AJ25" s="111">
        <v>6.0</v>
      </c>
      <c r="AK25" s="111">
        <v>3.0</v>
      </c>
      <c r="AL25" s="111"/>
      <c r="AM25" s="111">
        <v>3.0</v>
      </c>
      <c r="AN25" s="111">
        <v>3.0</v>
      </c>
      <c r="AO25" s="111">
        <v>3.0</v>
      </c>
      <c r="AP25" s="111">
        <v>13.0</v>
      </c>
      <c r="AQ25" s="111">
        <v>2.0</v>
      </c>
      <c r="AR25" s="112"/>
      <c r="AS25" s="31"/>
      <c r="AT25" s="113">
        <f>SUM(AX25:CO25)</f>
        <v>0</v>
      </c>
      <c r="AU25" s="59"/>
      <c r="AV25" s="59"/>
      <c r="AW25" s="60"/>
      <c r="AX25" s="114">
        <f>(AX22*AX24)/100</f>
        <v>0</v>
      </c>
      <c r="AY25" s="74"/>
      <c r="AZ25" s="75"/>
      <c r="BA25" s="115">
        <f>(BA22*BA24)/100</f>
        <v>0</v>
      </c>
      <c r="BB25" s="74"/>
      <c r="BC25" s="75"/>
      <c r="BD25" s="115">
        <f>(BD22*BD24)/100</f>
        <v>0</v>
      </c>
      <c r="BE25" s="74"/>
      <c r="BF25" s="75"/>
      <c r="BG25" s="115">
        <f>(BG22*BG24)/100</f>
        <v>0</v>
      </c>
      <c r="BH25" s="74"/>
      <c r="BI25" s="75"/>
      <c r="BJ25" s="115">
        <f>(BJ22*BJ24)/100</f>
        <v>0</v>
      </c>
      <c r="BK25" s="74"/>
      <c r="BL25" s="75"/>
      <c r="BM25" s="115">
        <f>(BM22*BM24)/100</f>
        <v>0</v>
      </c>
      <c r="BN25" s="74"/>
      <c r="BO25" s="75"/>
      <c r="BP25" s="115">
        <f>(BP22*BP24)/100</f>
        <v>0</v>
      </c>
      <c r="BQ25" s="74"/>
      <c r="BR25" s="75"/>
      <c r="BS25" s="115">
        <f>(BS22*BS24)/100</f>
        <v>0</v>
      </c>
      <c r="BT25" s="74"/>
      <c r="BU25" s="75"/>
      <c r="BV25" s="115">
        <f>(BV22*BV24)/100</f>
        <v>0</v>
      </c>
      <c r="BW25" s="74"/>
      <c r="BX25" s="75"/>
      <c r="BY25" s="115">
        <f>(BY22*BY24)/100</f>
        <v>0</v>
      </c>
      <c r="BZ25" s="74"/>
      <c r="CA25" s="75"/>
      <c r="CB25" s="115">
        <f>(CB22*CB24)/100</f>
        <v>0</v>
      </c>
      <c r="CC25" s="74"/>
      <c r="CD25" s="75"/>
      <c r="CE25" s="115">
        <f>(CE22*CE24)/100</f>
        <v>0</v>
      </c>
      <c r="CF25" s="74"/>
      <c r="CG25" s="75"/>
      <c r="CH25" s="115">
        <f>(CH22*CH24)/100</f>
        <v>0</v>
      </c>
      <c r="CI25" s="74"/>
      <c r="CJ25" s="75"/>
      <c r="CK25" s="115">
        <f>(CK22*CK24)/100</f>
        <v>0</v>
      </c>
      <c r="CL25" s="74"/>
      <c r="CM25" s="75"/>
      <c r="CN25" s="115">
        <f>(CN22*CN24)/100</f>
        <v>0</v>
      </c>
      <c r="CO25" s="74"/>
      <c r="CP25" s="75"/>
      <c r="CQ25" s="31"/>
      <c r="CR25" s="61">
        <v>2500.0</v>
      </c>
      <c r="CS25" s="12"/>
      <c r="CT25" s="13"/>
      <c r="CU25" s="77" t="s">
        <v>43</v>
      </c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5"/>
      <c r="DH25" s="78">
        <f t="shared" si="6"/>
        <v>2</v>
      </c>
      <c r="DI25" s="74"/>
      <c r="DJ25" s="75"/>
      <c r="DK25" s="79">
        <v>2.0</v>
      </c>
      <c r="DL25" s="74"/>
      <c r="DM25" s="75"/>
      <c r="DN25" s="80">
        <f t="shared" si="7"/>
        <v>2500</v>
      </c>
      <c r="DO25" s="74"/>
      <c r="DP25" s="75"/>
      <c r="DQ25" s="78">
        <f t="shared" si="8"/>
        <v>2</v>
      </c>
      <c r="DR25" s="74"/>
      <c r="DS25" s="75"/>
      <c r="DT25" s="81">
        <f t="shared" si="9"/>
        <v>100</v>
      </c>
      <c r="DU25" s="74"/>
      <c r="DV25" s="75"/>
      <c r="DW25" s="82">
        <f>(DK25-DH25)/'График'!AK8</f>
        <v>0</v>
      </c>
      <c r="DX25" s="74"/>
      <c r="DY25" s="75"/>
      <c r="DZ25" s="31"/>
      <c r="EA25" s="83" t="s">
        <v>44</v>
      </c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5"/>
      <c r="EO25" s="81">
        <f>DH24*100/DH22</f>
        <v>2.074688797</v>
      </c>
      <c r="EP25" s="75"/>
      <c r="EQ25" s="81">
        <f>((DH24*100/DH22)+EO7)/2</f>
        <v>3.321608358</v>
      </c>
      <c r="ER25" s="75"/>
      <c r="ES25" s="31"/>
      <c r="ET25" s="102" t="s">
        <v>45</v>
      </c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5"/>
      <c r="FJ25" s="85">
        <f>AT7</f>
        <v>0</v>
      </c>
      <c r="FK25" s="74"/>
      <c r="FL25" s="75"/>
      <c r="FM25" s="31"/>
      <c r="FN25" s="92" t="s">
        <v>46</v>
      </c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5"/>
      <c r="FZ25" s="116">
        <v>200.0</v>
      </c>
      <c r="GA25" s="75"/>
      <c r="GB25" s="119"/>
      <c r="GC25" s="118"/>
      <c r="GD25" s="119"/>
      <c r="GE25" s="118"/>
      <c r="GF25" s="118"/>
      <c r="GG25" s="118"/>
      <c r="GH25" s="118"/>
      <c r="GI25" s="119"/>
      <c r="GJ25" s="118"/>
      <c r="GK25" s="118"/>
      <c r="GL25" s="118"/>
      <c r="GM25" s="118"/>
      <c r="GN25" s="118"/>
      <c r="GO25" s="118"/>
      <c r="GP25" s="118"/>
      <c r="GQ25" s="118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118"/>
      <c r="HF25" s="119"/>
      <c r="HG25" s="107">
        <f t="shared" si="10"/>
        <v>0</v>
      </c>
      <c r="HH25" s="74"/>
      <c r="HI25" s="75"/>
      <c r="HJ25" s="108"/>
    </row>
    <row r="26" ht="15.0" customHeight="1">
      <c r="A26" s="54"/>
      <c r="C26" s="120"/>
      <c r="D26" s="83" t="s">
        <v>32</v>
      </c>
      <c r="E26" s="74"/>
      <c r="F26" s="74"/>
      <c r="G26" s="74"/>
      <c r="H26" s="74"/>
      <c r="I26" s="74"/>
      <c r="J26" s="74"/>
      <c r="K26" s="74"/>
      <c r="L26" s="74"/>
      <c r="M26" s="75"/>
      <c r="N26" s="111">
        <v>0.0</v>
      </c>
      <c r="O26" s="111">
        <v>0.0</v>
      </c>
      <c r="P26" s="111">
        <v>1.0</v>
      </c>
      <c r="Q26" s="111"/>
      <c r="R26" s="111">
        <v>0.0</v>
      </c>
      <c r="S26" s="111">
        <v>0.0</v>
      </c>
      <c r="T26" s="111">
        <v>1.0</v>
      </c>
      <c r="U26" s="111">
        <v>0.0</v>
      </c>
      <c r="V26" s="111">
        <v>0.0</v>
      </c>
      <c r="W26" s="111">
        <v>0.0</v>
      </c>
      <c r="X26" s="111">
        <v>0.0</v>
      </c>
      <c r="Y26" s="111">
        <v>0.0</v>
      </c>
      <c r="Z26" s="111">
        <v>0.0</v>
      </c>
      <c r="AA26" s="111">
        <v>0.0</v>
      </c>
      <c r="AB26" s="111">
        <v>0.0</v>
      </c>
      <c r="AC26" s="111"/>
      <c r="AD26" s="111"/>
      <c r="AE26" s="112"/>
      <c r="AF26" s="112"/>
      <c r="AG26" s="111">
        <v>0.0</v>
      </c>
      <c r="AH26" s="111">
        <v>0.0</v>
      </c>
      <c r="AI26" s="111">
        <v>0.0</v>
      </c>
      <c r="AJ26" s="111">
        <v>0.0</v>
      </c>
      <c r="AK26" s="111">
        <v>1.0</v>
      </c>
      <c r="AL26" s="111"/>
      <c r="AM26" s="111">
        <v>0.0</v>
      </c>
      <c r="AN26" s="111">
        <v>0.0</v>
      </c>
      <c r="AO26" s="111">
        <v>0.0</v>
      </c>
      <c r="AP26" s="111">
        <v>2.0</v>
      </c>
      <c r="AQ26" s="111">
        <v>0.0</v>
      </c>
      <c r="AR26" s="112"/>
      <c r="AS26" s="31"/>
      <c r="AT26" s="98" t="s">
        <v>47</v>
      </c>
      <c r="AU26" s="5"/>
      <c r="AV26" s="5"/>
      <c r="AW26" s="99" t="s">
        <v>37</v>
      </c>
      <c r="AX26" s="122"/>
      <c r="AY26" s="74"/>
      <c r="AZ26" s="75"/>
      <c r="BA26" s="122">
        <v>5.0</v>
      </c>
      <c r="BB26" s="74"/>
      <c r="BC26" s="75"/>
      <c r="BD26" s="122">
        <v>5.0</v>
      </c>
      <c r="BE26" s="74"/>
      <c r="BF26" s="75"/>
      <c r="BG26" s="122">
        <v>5.0</v>
      </c>
      <c r="BH26" s="74"/>
      <c r="BI26" s="75"/>
      <c r="BJ26" s="122">
        <v>5.0</v>
      </c>
      <c r="BK26" s="74"/>
      <c r="BL26" s="75"/>
      <c r="BM26" s="122">
        <v>5.0</v>
      </c>
      <c r="BN26" s="74"/>
      <c r="BO26" s="75"/>
      <c r="BP26" s="122">
        <v>5.0</v>
      </c>
      <c r="BQ26" s="74"/>
      <c r="BR26" s="75"/>
      <c r="BS26" s="122">
        <v>5.0</v>
      </c>
      <c r="BT26" s="74"/>
      <c r="BU26" s="75"/>
      <c r="BV26" s="122">
        <v>5.0</v>
      </c>
      <c r="BW26" s="74"/>
      <c r="BX26" s="75"/>
      <c r="BY26" s="122">
        <v>5.0</v>
      </c>
      <c r="BZ26" s="74"/>
      <c r="CA26" s="75"/>
      <c r="CB26" s="122">
        <v>5.0</v>
      </c>
      <c r="CC26" s="74"/>
      <c r="CD26" s="75"/>
      <c r="CE26" s="122">
        <v>5.0</v>
      </c>
      <c r="CF26" s="74"/>
      <c r="CG26" s="75"/>
      <c r="CH26" s="122">
        <v>5.0</v>
      </c>
      <c r="CI26" s="74"/>
      <c r="CJ26" s="75"/>
      <c r="CK26" s="122">
        <v>5.0</v>
      </c>
      <c r="CL26" s="74"/>
      <c r="CM26" s="75"/>
      <c r="CN26" s="122">
        <v>5.0</v>
      </c>
      <c r="CO26" s="74"/>
      <c r="CP26" s="75"/>
      <c r="CQ26" s="31"/>
      <c r="CR26" s="61">
        <v>0.0</v>
      </c>
      <c r="CS26" s="12"/>
      <c r="CT26" s="13"/>
      <c r="CU26" s="91" t="s">
        <v>48</v>
      </c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5"/>
      <c r="DH26" s="78">
        <f t="shared" si="6"/>
        <v>2</v>
      </c>
      <c r="DI26" s="74"/>
      <c r="DJ26" s="75"/>
      <c r="DK26" s="79">
        <v>1.0</v>
      </c>
      <c r="DL26" s="74"/>
      <c r="DM26" s="75"/>
      <c r="DN26" s="80">
        <v>0.0</v>
      </c>
      <c r="DO26" s="74"/>
      <c r="DP26" s="75"/>
      <c r="DQ26" s="78">
        <v>0.0</v>
      </c>
      <c r="DR26" s="74"/>
      <c r="DS26" s="75"/>
      <c r="DT26" s="81">
        <v>0.0</v>
      </c>
      <c r="DU26" s="74"/>
      <c r="DV26" s="75"/>
      <c r="DW26" s="82">
        <f>(DK26-DH26)/'График'!AK8</f>
        <v>-0.04347826087</v>
      </c>
      <c r="DX26" s="74"/>
      <c r="DY26" s="75"/>
      <c r="DZ26" s="31"/>
      <c r="EA26" s="92" t="s">
        <v>49</v>
      </c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5"/>
      <c r="EO26" s="81">
        <f>DH25*100/DH22</f>
        <v>0.8298755187</v>
      </c>
      <c r="EP26" s="75"/>
      <c r="EQ26" s="81">
        <f>((DH25*100/DH22)+EO8)/2</f>
        <v>0.4149377593</v>
      </c>
      <c r="ER26" s="75"/>
      <c r="ES26" s="31"/>
      <c r="ET26" s="102" t="s">
        <v>50</v>
      </c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5"/>
      <c r="FJ26" s="85"/>
      <c r="FK26" s="74"/>
      <c r="FL26" s="75"/>
      <c r="FM26" s="31"/>
      <c r="FN26" s="92" t="s">
        <v>51</v>
      </c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5"/>
      <c r="FZ26" s="116">
        <v>500.0</v>
      </c>
      <c r="GA26" s="75"/>
      <c r="GB26" s="119"/>
      <c r="GC26" s="118"/>
      <c r="GD26" s="118"/>
      <c r="GE26" s="118"/>
      <c r="GF26" s="118"/>
      <c r="GG26" s="118"/>
      <c r="GH26" s="118"/>
      <c r="GI26" s="119"/>
      <c r="GJ26" s="118"/>
      <c r="GK26" s="118"/>
      <c r="GL26" s="118"/>
      <c r="GM26" s="118"/>
      <c r="GN26" s="118"/>
      <c r="GO26" s="118"/>
      <c r="GP26" s="118"/>
      <c r="GQ26" s="118"/>
      <c r="GR26" s="118"/>
      <c r="GS26" s="118"/>
      <c r="GT26" s="118"/>
      <c r="GU26" s="118"/>
      <c r="GV26" s="118"/>
      <c r="GW26" s="118"/>
      <c r="GX26" s="118"/>
      <c r="GY26" s="118"/>
      <c r="GZ26" s="118"/>
      <c r="HA26" s="118"/>
      <c r="HB26" s="118"/>
      <c r="HC26" s="118"/>
      <c r="HD26" s="118"/>
      <c r="HE26" s="118"/>
      <c r="HF26" s="118"/>
      <c r="HG26" s="107">
        <f t="shared" si="10"/>
        <v>0</v>
      </c>
      <c r="HH26" s="74"/>
      <c r="HI26" s="75"/>
      <c r="HJ26" s="108"/>
    </row>
    <row r="27" ht="15.0" customHeight="1">
      <c r="A27" s="54"/>
      <c r="C27" s="120"/>
      <c r="D27" s="83" t="s">
        <v>38</v>
      </c>
      <c r="E27" s="74"/>
      <c r="F27" s="74"/>
      <c r="G27" s="74"/>
      <c r="H27" s="74"/>
      <c r="I27" s="74"/>
      <c r="J27" s="74"/>
      <c r="K27" s="74"/>
      <c r="L27" s="74"/>
      <c r="M27" s="75"/>
      <c r="N27" s="111">
        <v>0.0</v>
      </c>
      <c r="O27" s="111">
        <v>0.0</v>
      </c>
      <c r="P27" s="111">
        <v>0.0</v>
      </c>
      <c r="Q27" s="111"/>
      <c r="R27" s="111">
        <v>0.0</v>
      </c>
      <c r="S27" s="111">
        <v>1.0</v>
      </c>
      <c r="T27" s="111">
        <v>0.0</v>
      </c>
      <c r="U27" s="111">
        <v>0.0</v>
      </c>
      <c r="V27" s="111">
        <v>0.0</v>
      </c>
      <c r="W27" s="111">
        <v>0.0</v>
      </c>
      <c r="X27" s="111">
        <v>1.0</v>
      </c>
      <c r="Y27" s="111">
        <v>1.0</v>
      </c>
      <c r="Z27" s="111">
        <v>0.0</v>
      </c>
      <c r="AA27" s="111">
        <v>0.0</v>
      </c>
      <c r="AB27" s="111">
        <v>0.0</v>
      </c>
      <c r="AC27" s="111"/>
      <c r="AD27" s="111"/>
      <c r="AE27" s="112"/>
      <c r="AF27" s="112"/>
      <c r="AG27" s="111">
        <v>0.0</v>
      </c>
      <c r="AH27" s="111">
        <v>0.0</v>
      </c>
      <c r="AI27" s="111">
        <v>0.0</v>
      </c>
      <c r="AJ27" s="111">
        <v>0.0</v>
      </c>
      <c r="AK27" s="111">
        <v>0.0</v>
      </c>
      <c r="AL27" s="111"/>
      <c r="AM27" s="111">
        <v>0.0</v>
      </c>
      <c r="AN27" s="111">
        <v>0.0</v>
      </c>
      <c r="AO27" s="111">
        <v>0.0</v>
      </c>
      <c r="AP27" s="111">
        <v>2.0</v>
      </c>
      <c r="AQ27" s="111">
        <v>0.0</v>
      </c>
      <c r="AR27" s="112"/>
      <c r="AS27" s="31"/>
      <c r="AT27" s="113">
        <f>SUM(AX27:CO27)</f>
        <v>0</v>
      </c>
      <c r="AU27" s="59"/>
      <c r="AV27" s="59"/>
      <c r="AW27" s="60"/>
      <c r="AX27" s="123">
        <f>(AX22*AX26)/100</f>
        <v>0</v>
      </c>
      <c r="AY27" s="74"/>
      <c r="AZ27" s="75"/>
      <c r="BA27" s="124">
        <f>(BA22*BA26)/100</f>
        <v>0</v>
      </c>
      <c r="BB27" s="74"/>
      <c r="BC27" s="75"/>
      <c r="BD27" s="124">
        <f>(BD22*BD26)/100</f>
        <v>0</v>
      </c>
      <c r="BE27" s="74"/>
      <c r="BF27" s="75"/>
      <c r="BG27" s="124">
        <f>(BG22*BG26)/100</f>
        <v>0</v>
      </c>
      <c r="BH27" s="74"/>
      <c r="BI27" s="75"/>
      <c r="BJ27" s="124">
        <f>(BJ22*BJ26)/100</f>
        <v>0</v>
      </c>
      <c r="BK27" s="74"/>
      <c r="BL27" s="75"/>
      <c r="BM27" s="124">
        <f>(BM22*BM26)/100</f>
        <v>0</v>
      </c>
      <c r="BN27" s="74"/>
      <c r="BO27" s="75"/>
      <c r="BP27" s="124">
        <f>(BP22*BP26)/100</f>
        <v>0</v>
      </c>
      <c r="BQ27" s="74"/>
      <c r="BR27" s="75"/>
      <c r="BS27" s="124">
        <f>(BS22*BS26)/100</f>
        <v>0</v>
      </c>
      <c r="BT27" s="74"/>
      <c r="BU27" s="75"/>
      <c r="BV27" s="124">
        <f>(BV22*BV26)/100</f>
        <v>0</v>
      </c>
      <c r="BW27" s="74"/>
      <c r="BX27" s="75"/>
      <c r="BY27" s="124">
        <f>(BY22*BY26)/100</f>
        <v>0</v>
      </c>
      <c r="BZ27" s="74"/>
      <c r="CA27" s="75"/>
      <c r="CB27" s="124">
        <f>(CB22*CB26)/100</f>
        <v>0</v>
      </c>
      <c r="CC27" s="74"/>
      <c r="CD27" s="75"/>
      <c r="CE27" s="124">
        <f>(CE22*CE26)/100</f>
        <v>0</v>
      </c>
      <c r="CF27" s="74"/>
      <c r="CG27" s="75"/>
      <c r="CH27" s="124">
        <f>(CH22*CH26)/100</f>
        <v>0</v>
      </c>
      <c r="CI27" s="74"/>
      <c r="CJ27" s="75"/>
      <c r="CK27" s="124">
        <f>(CK22*CK26)/100</f>
        <v>0</v>
      </c>
      <c r="CL27" s="74"/>
      <c r="CM27" s="75"/>
      <c r="CN27" s="124">
        <f>(CN22*CN26)/100</f>
        <v>0</v>
      </c>
      <c r="CO27" s="74"/>
      <c r="CP27" s="75"/>
      <c r="CQ27" s="31"/>
      <c r="CR27" s="61">
        <v>2500.0</v>
      </c>
      <c r="CS27" s="12"/>
      <c r="CT27" s="13"/>
      <c r="CU27" s="77" t="s">
        <v>52</v>
      </c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5"/>
      <c r="DH27" s="80">
        <f>SUM(O30:AR30)</f>
        <v>40000</v>
      </c>
      <c r="DI27" s="74"/>
      <c r="DJ27" s="75"/>
      <c r="DK27" s="125">
        <v>50000.0</v>
      </c>
      <c r="DL27" s="74"/>
      <c r="DM27" s="75"/>
      <c r="DN27" s="80">
        <f>5000*DT27/100</f>
        <v>4000</v>
      </c>
      <c r="DO27" s="74"/>
      <c r="DP27" s="75"/>
      <c r="DQ27" s="126">
        <f>IF(DH27&lt;DK27,DH27,IF(DH27&gt;=DK27,DK27))</f>
        <v>40000</v>
      </c>
      <c r="DR27" s="74"/>
      <c r="DS27" s="75"/>
      <c r="DT27" s="81">
        <f>DQ27*100/DK27</f>
        <v>80</v>
      </c>
      <c r="DU27" s="74"/>
      <c r="DV27" s="75"/>
      <c r="DW27" s="82">
        <f>(DK27-DH27)/'График'!AK8</f>
        <v>434.7826087</v>
      </c>
      <c r="DX27" s="74"/>
      <c r="DY27" s="75"/>
      <c r="DZ27" s="31"/>
      <c r="EA27" s="83" t="s">
        <v>53</v>
      </c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5"/>
      <c r="EO27" s="81">
        <f>DH24*100/DH23</f>
        <v>100</v>
      </c>
      <c r="EP27" s="75"/>
      <c r="EQ27" s="81">
        <f>((DH24*100/DH23)+EO9)/2</f>
        <v>72.5</v>
      </c>
      <c r="ER27" s="75"/>
      <c r="ES27" s="31"/>
      <c r="ET27" s="102" t="s">
        <v>54</v>
      </c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5"/>
      <c r="FJ27" s="85">
        <f>if(FJ23&gt;84,DH27*15%+FJ22,if(FJ23&lt;85,DH27*5%+FJ22))</f>
        <v>13410.71429</v>
      </c>
      <c r="FK27" s="74"/>
      <c r="FL27" s="75"/>
      <c r="FM27" s="31"/>
      <c r="FN27" s="92" t="s">
        <v>55</v>
      </c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5"/>
      <c r="FZ27" s="116">
        <v>800.0</v>
      </c>
      <c r="GA27" s="75"/>
      <c r="GB27" s="119"/>
      <c r="GC27" s="119"/>
      <c r="GD27" s="118"/>
      <c r="GE27" s="119"/>
      <c r="GF27" s="119"/>
      <c r="GG27" s="119"/>
      <c r="GH27" s="119"/>
      <c r="GI27" s="119"/>
      <c r="GJ27" s="119"/>
      <c r="GK27" s="118"/>
      <c r="GL27" s="118"/>
      <c r="GM27" s="119"/>
      <c r="GN27" s="118"/>
      <c r="GO27" s="118"/>
      <c r="GP27" s="118"/>
      <c r="GQ27" s="118"/>
      <c r="GR27" s="118"/>
      <c r="GS27" s="118"/>
      <c r="GT27" s="118"/>
      <c r="GU27" s="118"/>
      <c r="GV27" s="118"/>
      <c r="GW27" s="118"/>
      <c r="GX27" s="118"/>
      <c r="GY27" s="118"/>
      <c r="GZ27" s="118"/>
      <c r="HA27" s="118"/>
      <c r="HB27" s="118"/>
      <c r="HC27" s="118"/>
      <c r="HD27" s="118"/>
      <c r="HE27" s="118"/>
      <c r="HF27" s="118"/>
      <c r="HG27" s="107">
        <f t="shared" si="10"/>
        <v>0</v>
      </c>
      <c r="HH27" s="74"/>
      <c r="HI27" s="75"/>
      <c r="HJ27" s="108"/>
    </row>
    <row r="28" ht="15.0" customHeight="1">
      <c r="A28" s="54"/>
      <c r="C28" s="94"/>
      <c r="D28" s="92" t="s">
        <v>43</v>
      </c>
      <c r="E28" s="74"/>
      <c r="F28" s="74"/>
      <c r="G28" s="74"/>
      <c r="H28" s="74"/>
      <c r="I28" s="74"/>
      <c r="J28" s="74"/>
      <c r="K28" s="74"/>
      <c r="L28" s="74"/>
      <c r="M28" s="75"/>
      <c r="N28" s="111">
        <v>0.0</v>
      </c>
      <c r="O28" s="111">
        <v>0.0</v>
      </c>
      <c r="P28" s="111">
        <v>0.0</v>
      </c>
      <c r="Q28" s="111"/>
      <c r="R28" s="111">
        <v>1.0</v>
      </c>
      <c r="S28" s="111">
        <v>0.0</v>
      </c>
      <c r="T28" s="111">
        <v>0.0</v>
      </c>
      <c r="U28" s="111">
        <v>1.0</v>
      </c>
      <c r="V28" s="111">
        <v>0.0</v>
      </c>
      <c r="W28" s="111">
        <v>0.0</v>
      </c>
      <c r="X28" s="111">
        <v>0.0</v>
      </c>
      <c r="Y28" s="111">
        <v>0.0</v>
      </c>
      <c r="Z28" s="111">
        <v>0.0</v>
      </c>
      <c r="AA28" s="111">
        <v>0.0</v>
      </c>
      <c r="AB28" s="111">
        <v>0.0</v>
      </c>
      <c r="AC28" s="111"/>
      <c r="AD28" s="111"/>
      <c r="AE28" s="112"/>
      <c r="AF28" s="112"/>
      <c r="AG28" s="111">
        <v>0.0</v>
      </c>
      <c r="AH28" s="111">
        <v>0.0</v>
      </c>
      <c r="AI28" s="111">
        <v>0.0</v>
      </c>
      <c r="AJ28" s="111">
        <v>0.0</v>
      </c>
      <c r="AK28" s="111">
        <v>0.0</v>
      </c>
      <c r="AL28" s="111"/>
      <c r="AM28" s="111">
        <v>0.0</v>
      </c>
      <c r="AN28" s="111">
        <v>0.0</v>
      </c>
      <c r="AO28" s="111">
        <v>0.0</v>
      </c>
      <c r="AP28" s="111">
        <v>0.0</v>
      </c>
      <c r="AQ28" s="111">
        <v>0.0</v>
      </c>
      <c r="AR28" s="112"/>
      <c r="AS28" s="31"/>
      <c r="AT28" s="127" t="s">
        <v>56</v>
      </c>
      <c r="CQ28" s="31"/>
      <c r="CR28" s="61">
        <v>10000.0</v>
      </c>
      <c r="CS28" s="12"/>
      <c r="CT28" s="13"/>
      <c r="CU28" s="77" t="s">
        <v>57</v>
      </c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5"/>
      <c r="DH28" s="80">
        <f>sum(DH27+'Александр'!BI28)</f>
        <v>40000</v>
      </c>
      <c r="DI28" s="74"/>
      <c r="DJ28" s="75"/>
      <c r="DK28" s="128">
        <v>80000.0</v>
      </c>
      <c r="DL28" s="74"/>
      <c r="DM28" s="75"/>
      <c r="DN28" s="80">
        <v>10000.0</v>
      </c>
      <c r="DO28" s="74"/>
      <c r="DP28" s="75"/>
      <c r="DQ28" s="130"/>
      <c r="DR28" s="74"/>
      <c r="DS28" s="75"/>
      <c r="DT28" s="131">
        <f>DH28*100/DK28</f>
        <v>50</v>
      </c>
      <c r="DU28" s="74"/>
      <c r="DV28" s="75"/>
      <c r="DW28" s="80">
        <f>(DK28-DH28)/'График'!AK8</f>
        <v>1739.130435</v>
      </c>
      <c r="DX28" s="74"/>
      <c r="DY28" s="75"/>
      <c r="DZ28" s="31"/>
      <c r="EA28" s="83" t="s">
        <v>58</v>
      </c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5"/>
      <c r="EO28" s="81">
        <f>DH25*100/DH23</f>
        <v>40</v>
      </c>
      <c r="EP28" s="75"/>
      <c r="EQ28" s="81">
        <f>((DH25*100/DH23)+EO10)/2</f>
        <v>20</v>
      </c>
      <c r="ER28" s="75"/>
      <c r="ES28" s="31"/>
      <c r="ET28" s="102" t="s">
        <v>59</v>
      </c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5"/>
      <c r="FJ28" s="85">
        <f>if(DH28&gt;=DK28,FJ27+DN28,if(DH28&lt;DK28,FJ27))-HG30</f>
        <v>13410.71429</v>
      </c>
      <c r="FK28" s="74"/>
      <c r="FL28" s="75"/>
      <c r="FM28" s="31"/>
      <c r="FN28" s="92" t="s">
        <v>60</v>
      </c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5"/>
      <c r="FZ28" s="116">
        <v>1500.0</v>
      </c>
      <c r="GA28" s="75"/>
      <c r="GB28" s="118"/>
      <c r="GC28" s="118"/>
      <c r="GD28" s="118"/>
      <c r="GE28" s="118"/>
      <c r="GF28" s="118"/>
      <c r="GG28" s="118"/>
      <c r="GH28" s="118"/>
      <c r="GI28" s="119"/>
      <c r="GJ28" s="119"/>
      <c r="GK28" s="118"/>
      <c r="GL28" s="119"/>
      <c r="GM28" s="119"/>
      <c r="GN28" s="119"/>
      <c r="GO28" s="118"/>
      <c r="GP28" s="118"/>
      <c r="GQ28" s="118"/>
      <c r="GR28" s="118"/>
      <c r="GS28" s="118"/>
      <c r="GT28" s="118"/>
      <c r="GU28" s="118"/>
      <c r="GV28" s="118"/>
      <c r="GW28" s="118"/>
      <c r="GX28" s="118"/>
      <c r="GY28" s="118"/>
      <c r="GZ28" s="118"/>
      <c r="HA28" s="119"/>
      <c r="HB28" s="118"/>
      <c r="HC28" s="118"/>
      <c r="HD28" s="118"/>
      <c r="HE28" s="118"/>
      <c r="HF28" s="118"/>
      <c r="HG28" s="107">
        <f t="shared" si="10"/>
        <v>0</v>
      </c>
      <c r="HH28" s="74"/>
      <c r="HI28" s="75"/>
      <c r="HJ28" s="108"/>
    </row>
    <row r="29" ht="15.0" customHeight="1">
      <c r="A29" s="54"/>
      <c r="C29" s="120"/>
      <c r="D29" s="83" t="s">
        <v>48</v>
      </c>
      <c r="E29" s="74"/>
      <c r="F29" s="74"/>
      <c r="G29" s="74"/>
      <c r="H29" s="74"/>
      <c r="I29" s="74"/>
      <c r="J29" s="74"/>
      <c r="K29" s="74"/>
      <c r="L29" s="74"/>
      <c r="M29" s="75"/>
      <c r="N29" s="111">
        <v>0.0</v>
      </c>
      <c r="O29" s="111">
        <v>0.0</v>
      </c>
      <c r="P29" s="111">
        <v>0.0</v>
      </c>
      <c r="Q29" s="111"/>
      <c r="R29" s="111">
        <v>1.0</v>
      </c>
      <c r="S29" s="111">
        <v>0.0</v>
      </c>
      <c r="T29" s="111">
        <v>0.0</v>
      </c>
      <c r="U29" s="111">
        <v>1.0</v>
      </c>
      <c r="V29" s="111">
        <v>0.0</v>
      </c>
      <c r="W29" s="111">
        <v>0.0</v>
      </c>
      <c r="X29" s="111">
        <v>0.0</v>
      </c>
      <c r="Y29" s="111">
        <v>0.0</v>
      </c>
      <c r="Z29" s="111">
        <v>0.0</v>
      </c>
      <c r="AA29" s="111">
        <v>0.0</v>
      </c>
      <c r="AB29" s="111">
        <v>0.0</v>
      </c>
      <c r="AC29" s="111"/>
      <c r="AD29" s="111"/>
      <c r="AE29" s="112"/>
      <c r="AF29" s="112"/>
      <c r="AG29" s="111">
        <v>0.0</v>
      </c>
      <c r="AH29" s="111">
        <v>0.0</v>
      </c>
      <c r="AI29" s="111">
        <v>0.0</v>
      </c>
      <c r="AJ29" s="111">
        <v>0.0</v>
      </c>
      <c r="AK29" s="111">
        <v>0.0</v>
      </c>
      <c r="AL29" s="111"/>
      <c r="AM29" s="111">
        <v>0.0</v>
      </c>
      <c r="AN29" s="111">
        <v>0.0</v>
      </c>
      <c r="AO29" s="111">
        <v>0.0</v>
      </c>
      <c r="AP29" s="111">
        <v>0.0</v>
      </c>
      <c r="AQ29" s="111">
        <v>0.0</v>
      </c>
      <c r="AR29" s="112"/>
      <c r="AS29" s="31"/>
      <c r="AT29" s="132" t="s">
        <v>9</v>
      </c>
      <c r="AU29" s="27"/>
      <c r="AV29" s="27"/>
      <c r="AW29" s="28"/>
      <c r="AX29" s="133" t="s">
        <v>80</v>
      </c>
      <c r="AY29" s="134"/>
      <c r="AZ29" s="135"/>
      <c r="BA29" s="133" t="s">
        <v>81</v>
      </c>
      <c r="BB29" s="134"/>
      <c r="BC29" s="135"/>
      <c r="BD29" s="133" t="s">
        <v>82</v>
      </c>
      <c r="BE29" s="134"/>
      <c r="BF29" s="135"/>
      <c r="BG29" s="133" t="s">
        <v>83</v>
      </c>
      <c r="BH29" s="134"/>
      <c r="BI29" s="135"/>
      <c r="BJ29" s="133" t="s">
        <v>69</v>
      </c>
      <c r="BK29" s="134"/>
      <c r="BL29" s="135"/>
      <c r="BM29" s="133" t="s">
        <v>69</v>
      </c>
      <c r="BN29" s="134"/>
      <c r="BO29" s="135"/>
      <c r="BP29" s="133" t="s">
        <v>69</v>
      </c>
      <c r="BQ29" s="134"/>
      <c r="BR29" s="135"/>
      <c r="BS29" s="133" t="s">
        <v>69</v>
      </c>
      <c r="BT29" s="134"/>
      <c r="BU29" s="135"/>
      <c r="BV29" s="133" t="s">
        <v>69</v>
      </c>
      <c r="BW29" s="134"/>
      <c r="BX29" s="135"/>
      <c r="BY29" s="133" t="s">
        <v>69</v>
      </c>
      <c r="BZ29" s="134"/>
      <c r="CA29" s="135"/>
      <c r="CB29" s="133" t="s">
        <v>69</v>
      </c>
      <c r="CC29" s="134"/>
      <c r="CD29" s="135"/>
      <c r="CE29" s="133" t="s">
        <v>69</v>
      </c>
      <c r="CF29" s="134"/>
      <c r="CG29" s="135"/>
      <c r="CH29" s="133" t="s">
        <v>69</v>
      </c>
      <c r="CI29" s="134"/>
      <c r="CJ29" s="135"/>
      <c r="CK29" s="133" t="s">
        <v>69</v>
      </c>
      <c r="CL29" s="134"/>
      <c r="CM29" s="135"/>
      <c r="CN29" s="133" t="s">
        <v>69</v>
      </c>
      <c r="CO29" s="134"/>
      <c r="CP29" s="135"/>
      <c r="CQ29" s="31"/>
      <c r="CR29" s="61">
        <v>0.0</v>
      </c>
      <c r="CS29" s="12"/>
      <c r="CT29" s="13"/>
      <c r="CU29" s="77" t="s">
        <v>70</v>
      </c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5"/>
      <c r="DH29" s="80">
        <f>DK27-DH27</f>
        <v>10000</v>
      </c>
      <c r="DI29" s="74"/>
      <c r="DJ29" s="75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36"/>
      <c r="DV29" s="136"/>
      <c r="DW29" s="136"/>
      <c r="DX29" s="137"/>
      <c r="DY29" s="137"/>
      <c r="DZ29" s="31"/>
      <c r="EA29" s="83" t="s">
        <v>71</v>
      </c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5"/>
      <c r="EO29" s="81">
        <f>DH25*100/DH24</f>
        <v>40</v>
      </c>
      <c r="EP29" s="75"/>
      <c r="EQ29" s="81">
        <f>((DH25*100/DH24)+EO11)/2</f>
        <v>20</v>
      </c>
      <c r="ER29" s="75"/>
      <c r="ES29" s="31"/>
      <c r="ET29" s="138"/>
      <c r="EU29" s="138"/>
      <c r="EV29" s="138"/>
      <c r="EW29" s="138"/>
      <c r="EX29" s="138"/>
      <c r="EY29" s="138"/>
      <c r="EZ29" s="138"/>
      <c r="FA29" s="138"/>
      <c r="FB29" s="138"/>
      <c r="FC29" s="138"/>
      <c r="FD29" s="138"/>
      <c r="FE29" s="138"/>
      <c r="FF29" s="138"/>
      <c r="FG29" s="138"/>
      <c r="FH29" s="139" t="s">
        <v>24</v>
      </c>
      <c r="FI29" s="75"/>
      <c r="FJ29" s="140">
        <f>sum(FJ24+FJ28+FJ25+FJ26)</f>
        <v>20410.71429</v>
      </c>
      <c r="FK29" s="74"/>
      <c r="FL29" s="75"/>
      <c r="FM29" s="31"/>
      <c r="FN29" s="83" t="s">
        <v>72</v>
      </c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5"/>
      <c r="FZ29" s="116">
        <v>1000.0</v>
      </c>
      <c r="GA29" s="74"/>
      <c r="GB29" s="141"/>
      <c r="GC29" s="142"/>
      <c r="GD29" s="141"/>
      <c r="GE29" s="141"/>
      <c r="GF29" s="141"/>
      <c r="GG29" s="141"/>
      <c r="GH29" s="142"/>
      <c r="GI29" s="141"/>
      <c r="GJ29" s="141"/>
      <c r="GK29" s="141"/>
      <c r="GL29" s="142"/>
      <c r="GM29" s="141"/>
      <c r="GN29" s="142"/>
      <c r="GO29" s="141"/>
      <c r="GP29" s="141"/>
      <c r="GQ29" s="141"/>
      <c r="GR29" s="141"/>
      <c r="GS29" s="141"/>
      <c r="GT29" s="141"/>
      <c r="GU29" s="141"/>
      <c r="GV29" s="141"/>
      <c r="GW29" s="141"/>
      <c r="GX29" s="141"/>
      <c r="GY29" s="141"/>
      <c r="GZ29" s="141"/>
      <c r="HA29" s="141"/>
      <c r="HB29" s="141"/>
      <c r="HC29" s="141"/>
      <c r="HD29" s="141"/>
      <c r="HE29" s="141"/>
      <c r="HF29" s="141"/>
      <c r="HG29" s="107">
        <f t="shared" si="10"/>
        <v>0</v>
      </c>
      <c r="HH29" s="74"/>
      <c r="HI29" s="75"/>
      <c r="HJ29" s="108"/>
    </row>
    <row r="30" ht="15.0" customHeight="1">
      <c r="A30" s="54"/>
      <c r="C30" s="120"/>
      <c r="D30" s="143" t="s">
        <v>52</v>
      </c>
      <c r="E30" s="134"/>
      <c r="F30" s="134"/>
      <c r="G30" s="134"/>
      <c r="H30" s="134"/>
      <c r="I30" s="134"/>
      <c r="J30" s="134"/>
      <c r="K30" s="134"/>
      <c r="L30" s="134"/>
      <c r="M30" s="135"/>
      <c r="N30" s="144">
        <v>0.0</v>
      </c>
      <c r="O30" s="144">
        <v>0.0</v>
      </c>
      <c r="P30" s="144">
        <v>0.0</v>
      </c>
      <c r="Q30" s="144"/>
      <c r="R30" s="144">
        <v>20000.0</v>
      </c>
      <c r="S30" s="144">
        <v>0.0</v>
      </c>
      <c r="T30" s="144">
        <v>0.0</v>
      </c>
      <c r="U30" s="144">
        <v>20000.0</v>
      </c>
      <c r="V30" s="144">
        <v>0.0</v>
      </c>
      <c r="W30" s="144">
        <v>0.0</v>
      </c>
      <c r="X30" s="144">
        <v>0.0</v>
      </c>
      <c r="Y30" s="144">
        <v>0.0</v>
      </c>
      <c r="Z30" s="144">
        <v>0.0</v>
      </c>
      <c r="AA30" s="144">
        <v>0.0</v>
      </c>
      <c r="AB30" s="144">
        <v>0.0</v>
      </c>
      <c r="AC30" s="144"/>
      <c r="AD30" s="144"/>
      <c r="AE30" s="145"/>
      <c r="AF30" s="145"/>
      <c r="AG30" s="144">
        <v>0.0</v>
      </c>
      <c r="AH30" s="144">
        <v>0.0</v>
      </c>
      <c r="AI30" s="144">
        <v>0.0</v>
      </c>
      <c r="AJ30" s="144">
        <v>0.0</v>
      </c>
      <c r="AK30" s="144">
        <v>0.0</v>
      </c>
      <c r="AL30" s="144"/>
      <c r="AM30" s="144">
        <v>0.0</v>
      </c>
      <c r="AN30" s="144">
        <v>0.0</v>
      </c>
      <c r="AO30" s="144">
        <v>0.0</v>
      </c>
      <c r="AP30" s="144">
        <v>0.0</v>
      </c>
      <c r="AQ30" s="144">
        <v>0.0</v>
      </c>
      <c r="AR30" s="144"/>
      <c r="AS30" s="31"/>
      <c r="AT30" s="57"/>
      <c r="AU30" s="39"/>
      <c r="AV30" s="39"/>
      <c r="AW30" s="40"/>
      <c r="AX30" s="58"/>
      <c r="AY30" s="59"/>
      <c r="AZ30" s="60"/>
      <c r="BA30" s="58"/>
      <c r="BB30" s="59"/>
      <c r="BC30" s="60"/>
      <c r="BD30" s="58"/>
      <c r="BE30" s="59"/>
      <c r="BF30" s="60"/>
      <c r="BG30" s="58"/>
      <c r="BH30" s="59"/>
      <c r="BI30" s="60"/>
      <c r="BJ30" s="58"/>
      <c r="BK30" s="59"/>
      <c r="BL30" s="60"/>
      <c r="BM30" s="58"/>
      <c r="BN30" s="59"/>
      <c r="BO30" s="60"/>
      <c r="BP30" s="58"/>
      <c r="BQ30" s="59"/>
      <c r="BR30" s="60"/>
      <c r="BS30" s="58"/>
      <c r="BT30" s="59"/>
      <c r="BU30" s="60"/>
      <c r="BV30" s="58"/>
      <c r="BW30" s="59"/>
      <c r="BX30" s="60"/>
      <c r="BY30" s="58"/>
      <c r="BZ30" s="59"/>
      <c r="CA30" s="60"/>
      <c r="CB30" s="58"/>
      <c r="CC30" s="59"/>
      <c r="CD30" s="60"/>
      <c r="CE30" s="58"/>
      <c r="CF30" s="59"/>
      <c r="CG30" s="60"/>
      <c r="CH30" s="58"/>
      <c r="CI30" s="59"/>
      <c r="CJ30" s="60"/>
      <c r="CK30" s="58"/>
      <c r="CL30" s="59"/>
      <c r="CM30" s="60"/>
      <c r="CN30" s="58"/>
      <c r="CO30" s="59"/>
      <c r="CP30" s="60"/>
      <c r="CQ30" s="31"/>
      <c r="CR30" s="61">
        <v>0.0</v>
      </c>
      <c r="CS30" s="12"/>
      <c r="CT30" s="13"/>
      <c r="CU30" s="77" t="s">
        <v>73</v>
      </c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5"/>
      <c r="DH30" s="80">
        <f>DH27/DH25</f>
        <v>20000</v>
      </c>
      <c r="DI30" s="74"/>
      <c r="DJ30" s="75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146"/>
      <c r="EP30" s="146"/>
      <c r="EQ30" s="147"/>
      <c r="ER30" s="147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148"/>
      <c r="FO30" s="148"/>
      <c r="FP30" s="148"/>
      <c r="FQ30" s="148"/>
      <c r="FR30" s="148"/>
      <c r="FS30" s="148"/>
      <c r="FT30" s="148"/>
      <c r="FU30" s="148"/>
      <c r="FV30" s="148"/>
      <c r="FW30" s="148"/>
      <c r="FX30" s="148"/>
      <c r="FY30" s="148"/>
      <c r="FZ30" s="148"/>
      <c r="GA30" s="148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49"/>
      <c r="GR30" s="149"/>
      <c r="GS30" s="149"/>
      <c r="GT30" s="149"/>
      <c r="GU30" s="149"/>
      <c r="GV30" s="149"/>
      <c r="GW30" s="149"/>
      <c r="GX30" s="149"/>
      <c r="GY30" s="149"/>
      <c r="GZ30" s="136"/>
      <c r="HA30" s="136"/>
      <c r="HB30" s="136"/>
      <c r="HC30" s="136"/>
      <c r="HD30" s="136"/>
      <c r="HE30" s="150" t="s">
        <v>24</v>
      </c>
      <c r="HF30" s="75"/>
      <c r="HG30" s="151">
        <f>sum(HG24:HG29)</f>
        <v>0</v>
      </c>
      <c r="HH30" s="74"/>
      <c r="HI30" s="75"/>
      <c r="HJ30" s="152"/>
    </row>
    <row r="31" ht="15.0" customHeight="1">
      <c r="A31" s="54"/>
      <c r="C31" s="120"/>
      <c r="D31" s="153"/>
      <c r="M31" s="35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31"/>
      <c r="AT31" s="72" t="s">
        <v>21</v>
      </c>
      <c r="AU31" s="27"/>
      <c r="AV31" s="27"/>
      <c r="AW31" s="28"/>
      <c r="AX31" s="155">
        <v>10000.0</v>
      </c>
      <c r="AY31" s="74"/>
      <c r="AZ31" s="75"/>
      <c r="BA31" s="156">
        <v>10000.0</v>
      </c>
      <c r="BB31" s="74"/>
      <c r="BC31" s="75"/>
      <c r="BD31" s="156">
        <v>10000.0</v>
      </c>
      <c r="BE31" s="74"/>
      <c r="BF31" s="75"/>
      <c r="BG31" s="156">
        <v>5000.0</v>
      </c>
      <c r="BH31" s="74"/>
      <c r="BI31" s="75"/>
      <c r="BJ31" s="156"/>
      <c r="BK31" s="74"/>
      <c r="BL31" s="75"/>
      <c r="BM31" s="156"/>
      <c r="BN31" s="74"/>
      <c r="BO31" s="75"/>
      <c r="BP31" s="156"/>
      <c r="BQ31" s="74"/>
      <c r="BR31" s="75"/>
      <c r="BS31" s="156"/>
      <c r="BT31" s="74"/>
      <c r="BU31" s="75"/>
      <c r="BV31" s="156"/>
      <c r="BW31" s="74"/>
      <c r="BX31" s="75"/>
      <c r="BY31" s="156"/>
      <c r="BZ31" s="74"/>
      <c r="CA31" s="75"/>
      <c r="CB31" s="156"/>
      <c r="CC31" s="74"/>
      <c r="CD31" s="75"/>
      <c r="CE31" s="156"/>
      <c r="CF31" s="74"/>
      <c r="CG31" s="75"/>
      <c r="CH31" s="156"/>
      <c r="CI31" s="74"/>
      <c r="CJ31" s="75"/>
      <c r="CK31" s="156"/>
      <c r="CL31" s="74"/>
      <c r="CM31" s="75"/>
      <c r="CN31" s="156"/>
      <c r="CO31" s="74"/>
      <c r="CP31" s="75"/>
      <c r="CQ31" s="31"/>
      <c r="CR31" s="61">
        <v>0.0</v>
      </c>
      <c r="CS31" s="12"/>
      <c r="CT31" s="13"/>
      <c r="CU31" s="77" t="s">
        <v>74</v>
      </c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5"/>
      <c r="DH31" s="78"/>
      <c r="DI31" s="74"/>
      <c r="DJ31" s="75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6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146"/>
      <c r="EP31" s="146"/>
      <c r="EQ31" s="147"/>
      <c r="ER31" s="147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148"/>
      <c r="GR31" s="148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157"/>
      <c r="HH31" s="158"/>
      <c r="HI31" s="31"/>
      <c r="HJ31" s="31"/>
    </row>
    <row r="32" ht="15.0" customHeight="1">
      <c r="A32" s="54"/>
      <c r="C32" s="120"/>
      <c r="D32" s="153"/>
      <c r="M32" s="35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31"/>
      <c r="AT32" s="159">
        <v>20.0</v>
      </c>
      <c r="AU32" s="5"/>
      <c r="AV32" s="5"/>
      <c r="AW32" s="160" t="s">
        <v>37</v>
      </c>
      <c r="AX32" s="161">
        <f>AX31*AT32/100</f>
        <v>2000</v>
      </c>
      <c r="AY32" s="74"/>
      <c r="AZ32" s="75"/>
      <c r="BA32" s="161">
        <f>BA31*AT32/100</f>
        <v>2000</v>
      </c>
      <c r="BB32" s="74"/>
      <c r="BC32" s="75"/>
      <c r="BD32" s="161">
        <f>BD31*AT32/100</f>
        <v>2000</v>
      </c>
      <c r="BE32" s="74"/>
      <c r="BF32" s="75"/>
      <c r="BG32" s="161">
        <f>BG31*AT32/100</f>
        <v>1000</v>
      </c>
      <c r="BH32" s="74"/>
      <c r="BI32" s="75"/>
      <c r="BJ32" s="161">
        <f>BJ31*AT32/100</f>
        <v>0</v>
      </c>
      <c r="BK32" s="74"/>
      <c r="BL32" s="75"/>
      <c r="BM32" s="161">
        <f>BM31*AT32/100</f>
        <v>0</v>
      </c>
      <c r="BN32" s="74"/>
      <c r="BO32" s="75"/>
      <c r="BP32" s="161">
        <f>BP31*AT32/100</f>
        <v>0</v>
      </c>
      <c r="BQ32" s="74"/>
      <c r="BR32" s="75"/>
      <c r="BS32" s="161">
        <f>BS31*AT32/100</f>
        <v>0</v>
      </c>
      <c r="BT32" s="74"/>
      <c r="BU32" s="75"/>
      <c r="BV32" s="161">
        <f>BV31*AT32/100</f>
        <v>0</v>
      </c>
      <c r="BW32" s="74"/>
      <c r="BX32" s="75"/>
      <c r="BY32" s="161">
        <f>BY31*AT32/100</f>
        <v>0</v>
      </c>
      <c r="BZ32" s="74"/>
      <c r="CA32" s="75"/>
      <c r="CB32" s="161">
        <f>CB31*AT32/100</f>
        <v>0</v>
      </c>
      <c r="CC32" s="74"/>
      <c r="CD32" s="75"/>
      <c r="CE32" s="161">
        <f>CE31*AT32/100</f>
        <v>0</v>
      </c>
      <c r="CF32" s="74"/>
      <c r="CG32" s="75"/>
      <c r="CH32" s="161">
        <f>CH31*AT32/100</f>
        <v>0</v>
      </c>
      <c r="CI32" s="74"/>
      <c r="CJ32" s="75"/>
      <c r="CK32" s="161">
        <f>CK31*AT32/100</f>
        <v>0</v>
      </c>
      <c r="CL32" s="74"/>
      <c r="CM32" s="75"/>
      <c r="CN32" s="161">
        <f>CN31*AT32/100</f>
        <v>0</v>
      </c>
      <c r="CO32" s="74"/>
      <c r="CP32" s="75"/>
      <c r="CQ32" s="31"/>
      <c r="CR32" s="61">
        <v>0.0</v>
      </c>
      <c r="CS32" s="12"/>
      <c r="CT32" s="13"/>
      <c r="CU32" s="77" t="s">
        <v>75</v>
      </c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5"/>
      <c r="DH32" s="80"/>
      <c r="DI32" s="74"/>
      <c r="DJ32" s="75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36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146"/>
      <c r="EP32" s="146"/>
      <c r="EQ32" s="147"/>
      <c r="ER32" s="147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148"/>
      <c r="GR32" s="148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157"/>
      <c r="HH32" s="158"/>
      <c r="HI32" s="31"/>
      <c r="HJ32" s="31"/>
    </row>
    <row r="33" ht="15.0" customHeight="1">
      <c r="A33" s="162"/>
      <c r="B33" s="163"/>
      <c r="C33" s="120"/>
      <c r="D33" s="58"/>
      <c r="E33" s="59"/>
      <c r="F33" s="59"/>
      <c r="G33" s="59"/>
      <c r="H33" s="59"/>
      <c r="I33" s="59"/>
      <c r="J33" s="59"/>
      <c r="K33" s="59"/>
      <c r="L33" s="59"/>
      <c r="M33" s="60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31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31"/>
      <c r="CR33" s="61">
        <v>15000.0</v>
      </c>
      <c r="CS33" s="12"/>
      <c r="CT33" s="13"/>
      <c r="CU33" s="212" t="s">
        <v>84</v>
      </c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5"/>
      <c r="DH33" s="82">
        <f>(DH25/DH26)</f>
        <v>1</v>
      </c>
      <c r="DI33" s="74"/>
      <c r="DJ33" s="75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146"/>
      <c r="EP33" s="146"/>
      <c r="EQ33" s="147"/>
      <c r="ER33" s="147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148"/>
      <c r="GR33" s="148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157"/>
      <c r="HH33" s="158"/>
      <c r="HI33" s="31"/>
      <c r="HJ33" s="31"/>
    </row>
    <row r="34" ht="15.0" customHeight="1">
      <c r="A34" s="166"/>
      <c r="B34" s="167"/>
      <c r="C34" s="168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170"/>
      <c r="AU34" s="148"/>
      <c r="AV34" s="148"/>
      <c r="AW34" s="148"/>
      <c r="AX34" s="171"/>
      <c r="AY34" s="148"/>
      <c r="AZ34" s="148"/>
      <c r="BA34" s="171"/>
      <c r="BB34" s="148"/>
      <c r="BC34" s="148"/>
      <c r="BD34" s="171"/>
      <c r="BE34" s="148"/>
      <c r="BF34" s="148"/>
      <c r="BG34" s="171"/>
      <c r="BH34" s="148"/>
      <c r="BI34" s="148"/>
      <c r="BJ34" s="171"/>
      <c r="BK34" s="148"/>
      <c r="BL34" s="148"/>
      <c r="BM34" s="171"/>
      <c r="BN34" s="148"/>
      <c r="BO34" s="148"/>
      <c r="BP34" s="171"/>
      <c r="BQ34" s="148"/>
      <c r="BR34" s="148"/>
      <c r="BS34" s="171"/>
      <c r="BT34" s="148"/>
      <c r="BU34" s="148"/>
      <c r="BV34" s="171"/>
      <c r="BW34" s="148"/>
      <c r="BX34" s="148"/>
      <c r="BY34" s="171"/>
      <c r="BZ34" s="148"/>
      <c r="CA34" s="148"/>
      <c r="CB34" s="171"/>
      <c r="CC34" s="148"/>
      <c r="CD34" s="148"/>
      <c r="CE34" s="171"/>
      <c r="CF34" s="148"/>
      <c r="CG34" s="148"/>
      <c r="CH34" s="171"/>
      <c r="CI34" s="148"/>
      <c r="CJ34" s="148"/>
      <c r="CK34" s="171"/>
      <c r="CL34" s="148"/>
      <c r="CM34" s="148"/>
      <c r="CN34" s="171"/>
      <c r="CO34" s="148"/>
      <c r="CP34" s="148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146"/>
      <c r="EP34" s="146"/>
      <c r="EQ34" s="172"/>
      <c r="ER34" s="172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148"/>
      <c r="GR34" s="148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157"/>
      <c r="HH34" s="158"/>
      <c r="HI34" s="31"/>
      <c r="HJ34" s="31"/>
    </row>
    <row r="35" ht="15.0" customHeight="1">
      <c r="A35" s="167"/>
      <c r="B35" s="167"/>
      <c r="C35" s="213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5"/>
      <c r="AY35" s="174"/>
      <c r="AZ35" s="174"/>
      <c r="BA35" s="175"/>
      <c r="BB35" s="174"/>
      <c r="BC35" s="174"/>
      <c r="BD35" s="175"/>
      <c r="BE35" s="174"/>
      <c r="BF35" s="174"/>
      <c r="BG35" s="175"/>
      <c r="BH35" s="174"/>
      <c r="BI35" s="174"/>
      <c r="BJ35" s="175"/>
      <c r="BK35" s="174"/>
      <c r="BL35" s="174"/>
      <c r="BM35" s="175"/>
      <c r="BN35" s="174"/>
      <c r="BO35" s="174"/>
      <c r="BP35" s="175"/>
      <c r="BQ35" s="174"/>
      <c r="BR35" s="174"/>
      <c r="BS35" s="175"/>
      <c r="BT35" s="174"/>
      <c r="BU35" s="174"/>
      <c r="BV35" s="175"/>
      <c r="BW35" s="174"/>
      <c r="BX35" s="174"/>
      <c r="BY35" s="175"/>
      <c r="BZ35" s="174"/>
      <c r="CA35" s="174"/>
      <c r="CB35" s="175"/>
      <c r="CC35" s="174"/>
      <c r="CD35" s="174"/>
      <c r="CE35" s="175"/>
      <c r="CF35" s="174"/>
      <c r="CG35" s="174"/>
      <c r="CH35" s="175"/>
      <c r="CI35" s="174"/>
      <c r="CJ35" s="174"/>
      <c r="CK35" s="175"/>
      <c r="CL35" s="174"/>
      <c r="CM35" s="174"/>
      <c r="CN35" s="175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  <c r="EB35" s="174"/>
      <c r="EC35" s="174"/>
      <c r="ED35" s="174"/>
      <c r="EE35" s="174"/>
      <c r="EF35" s="174"/>
      <c r="EG35" s="174"/>
      <c r="EH35" s="174"/>
      <c r="EI35" s="174"/>
      <c r="EJ35" s="174"/>
      <c r="EK35" s="174"/>
      <c r="EL35" s="174"/>
      <c r="EM35" s="174"/>
      <c r="EN35" s="174"/>
      <c r="EO35" s="176"/>
      <c r="EP35" s="176"/>
      <c r="EQ35" s="177"/>
      <c r="ER35" s="177"/>
      <c r="ES35" s="174"/>
      <c r="ET35" s="174"/>
      <c r="EU35" s="174"/>
      <c r="EV35" s="174"/>
      <c r="EW35" s="174"/>
      <c r="EX35" s="174"/>
      <c r="EY35" s="174"/>
      <c r="EZ35" s="174"/>
      <c r="FA35" s="174"/>
      <c r="FB35" s="174"/>
      <c r="FC35" s="174"/>
      <c r="FD35" s="174"/>
      <c r="FE35" s="174"/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4"/>
      <c r="FZ35" s="174"/>
      <c r="GA35" s="174"/>
      <c r="GB35" s="174"/>
      <c r="GC35" s="174"/>
      <c r="GD35" s="174"/>
      <c r="GE35" s="174"/>
      <c r="GF35" s="174"/>
      <c r="GG35" s="174"/>
      <c r="GH35" s="174"/>
      <c r="GI35" s="174"/>
      <c r="GJ35" s="174"/>
      <c r="GK35" s="174"/>
      <c r="GL35" s="174"/>
      <c r="GM35" s="174"/>
      <c r="GN35" s="174"/>
      <c r="GO35" s="174"/>
      <c r="GP35" s="174"/>
      <c r="GQ35" s="174"/>
      <c r="GR35" s="174"/>
      <c r="GS35" s="174"/>
      <c r="GT35" s="174"/>
      <c r="GU35" s="174"/>
      <c r="GV35" s="174"/>
      <c r="GW35" s="174"/>
      <c r="GX35" s="174"/>
      <c r="GY35" s="174"/>
      <c r="GZ35" s="174"/>
      <c r="HA35" s="174"/>
      <c r="HB35" s="174"/>
      <c r="HC35" s="174"/>
      <c r="HD35" s="174"/>
      <c r="HE35" s="174"/>
      <c r="HF35" s="174"/>
      <c r="HG35" s="178"/>
      <c r="HH35" s="179"/>
      <c r="HI35" s="174"/>
      <c r="HJ35" s="174"/>
    </row>
    <row r="36" ht="15.0" customHeight="1">
      <c r="A36" s="181"/>
      <c r="B36" s="181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4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  <c r="CB36" s="214"/>
      <c r="CC36" s="214"/>
      <c r="CD36" s="214"/>
      <c r="CE36" s="214"/>
      <c r="CF36" s="214"/>
      <c r="CG36" s="214"/>
      <c r="CH36" s="214"/>
      <c r="CI36" s="214"/>
      <c r="CJ36" s="214"/>
      <c r="CK36" s="214"/>
      <c r="CL36" s="214"/>
      <c r="CM36" s="214"/>
      <c r="CN36" s="214"/>
      <c r="CO36" s="214"/>
      <c r="CP36" s="214"/>
      <c r="CQ36" s="214"/>
      <c r="CR36" s="214"/>
      <c r="CS36" s="214"/>
      <c r="CT36" s="214"/>
      <c r="CU36" s="214"/>
      <c r="CV36" s="214"/>
      <c r="CW36" s="214"/>
      <c r="CX36" s="214"/>
      <c r="CY36" s="214"/>
      <c r="CZ36" s="214"/>
      <c r="DA36" s="214"/>
      <c r="DB36" s="214"/>
      <c r="DC36" s="214"/>
      <c r="DD36" s="214"/>
      <c r="DE36" s="214"/>
      <c r="DF36" s="214"/>
      <c r="DG36" s="214"/>
      <c r="DH36" s="214"/>
      <c r="DI36" s="214"/>
      <c r="DJ36" s="214"/>
      <c r="DK36" s="214"/>
      <c r="DL36" s="214"/>
      <c r="DM36" s="214"/>
      <c r="DN36" s="214"/>
      <c r="DO36" s="214"/>
      <c r="DP36" s="214"/>
      <c r="DQ36" s="214"/>
      <c r="DR36" s="214"/>
      <c r="DS36" s="214"/>
      <c r="DT36" s="214"/>
      <c r="DU36" s="214"/>
      <c r="DV36" s="214"/>
      <c r="DW36" s="214"/>
      <c r="DX36" s="214"/>
      <c r="DY36" s="214"/>
      <c r="DZ36" s="214"/>
      <c r="EA36" s="214"/>
      <c r="EB36" s="214"/>
      <c r="EC36" s="214"/>
      <c r="ED36" s="214"/>
      <c r="EE36" s="214"/>
      <c r="EF36" s="214"/>
      <c r="EG36" s="214"/>
      <c r="EH36" s="214"/>
      <c r="EI36" s="214"/>
      <c r="EJ36" s="214"/>
      <c r="EK36" s="214"/>
      <c r="EL36" s="214"/>
      <c r="EM36" s="214"/>
      <c r="EN36" s="214"/>
      <c r="EO36" s="214"/>
      <c r="EP36" s="214"/>
      <c r="EQ36" s="214"/>
      <c r="ER36" s="214"/>
      <c r="ES36" s="214"/>
      <c r="ET36" s="214"/>
      <c r="EU36" s="214"/>
      <c r="EV36" s="214"/>
      <c r="EW36" s="214"/>
      <c r="EX36" s="214"/>
      <c r="EY36" s="214"/>
      <c r="EZ36" s="214"/>
      <c r="FA36" s="214"/>
      <c r="FB36" s="214"/>
      <c r="FC36" s="214"/>
      <c r="FD36" s="214"/>
      <c r="FE36" s="214"/>
      <c r="FF36" s="214"/>
      <c r="FG36" s="214"/>
      <c r="FH36" s="214"/>
      <c r="FI36" s="214"/>
      <c r="FJ36" s="214"/>
      <c r="FK36" s="214"/>
      <c r="FL36" s="214"/>
      <c r="FM36" s="214"/>
      <c r="FN36" s="214"/>
      <c r="FO36" s="214"/>
      <c r="FP36" s="214"/>
      <c r="FQ36" s="214"/>
      <c r="FR36" s="214"/>
      <c r="FS36" s="214"/>
      <c r="FT36" s="214"/>
      <c r="FU36" s="214"/>
      <c r="FV36" s="214"/>
      <c r="FW36" s="214"/>
      <c r="FX36" s="214"/>
      <c r="FY36" s="214"/>
      <c r="FZ36" s="214"/>
      <c r="GA36" s="214"/>
      <c r="GB36" s="214"/>
      <c r="GC36" s="214"/>
      <c r="GD36" s="214"/>
      <c r="GE36" s="214"/>
      <c r="GF36" s="214"/>
      <c r="GG36" s="214"/>
      <c r="GH36" s="214"/>
      <c r="GI36" s="214"/>
      <c r="GJ36" s="214"/>
      <c r="GK36" s="214"/>
      <c r="GL36" s="214"/>
      <c r="GM36" s="214"/>
      <c r="GN36" s="214"/>
      <c r="GO36" s="214"/>
      <c r="GP36" s="214"/>
      <c r="GQ36" s="214"/>
      <c r="GR36" s="214"/>
      <c r="GS36" s="214"/>
      <c r="GT36" s="214"/>
      <c r="GU36" s="214"/>
      <c r="GV36" s="214"/>
      <c r="GW36" s="214"/>
      <c r="GX36" s="214"/>
      <c r="GY36" s="214"/>
      <c r="GZ36" s="214"/>
      <c r="HA36" s="214"/>
      <c r="HB36" s="214"/>
      <c r="HC36" s="214"/>
      <c r="HD36" s="214"/>
      <c r="HE36" s="214"/>
      <c r="HF36" s="214"/>
      <c r="HG36" s="214"/>
      <c r="HH36" s="214"/>
      <c r="HI36" s="214"/>
      <c r="HJ36" s="214"/>
    </row>
    <row r="37" ht="15.0" customHeight="1">
      <c r="A37" s="180"/>
      <c r="B37" s="13"/>
      <c r="C37" s="215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216"/>
      <c r="AS37" s="217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6"/>
      <c r="BK37" s="216"/>
      <c r="BL37" s="216"/>
      <c r="BM37" s="216"/>
      <c r="BN37" s="216"/>
      <c r="BO37" s="216"/>
      <c r="BP37" s="216"/>
      <c r="BQ37" s="216"/>
      <c r="BR37" s="216"/>
      <c r="BS37" s="216"/>
      <c r="BT37" s="216"/>
      <c r="BU37" s="216"/>
      <c r="BV37" s="216"/>
      <c r="BW37" s="216"/>
      <c r="BX37" s="216"/>
      <c r="BY37" s="216"/>
      <c r="BZ37" s="216"/>
      <c r="CA37" s="216"/>
      <c r="CB37" s="216"/>
      <c r="CC37" s="216"/>
      <c r="CD37" s="216"/>
      <c r="CE37" s="216"/>
      <c r="CF37" s="216"/>
      <c r="CG37" s="216"/>
      <c r="CH37" s="216"/>
      <c r="CI37" s="216"/>
      <c r="CJ37" s="216"/>
      <c r="CK37" s="216"/>
      <c r="CL37" s="216"/>
      <c r="CM37" s="216"/>
      <c r="CN37" s="216"/>
      <c r="CO37" s="216"/>
      <c r="CP37" s="216"/>
      <c r="CQ37" s="217"/>
      <c r="CR37" s="216"/>
      <c r="CS37" s="216"/>
      <c r="CT37" s="216"/>
      <c r="CU37" s="216"/>
      <c r="CV37" s="216"/>
      <c r="CW37" s="216"/>
      <c r="CX37" s="216"/>
      <c r="CY37" s="216"/>
      <c r="CZ37" s="216"/>
      <c r="DA37" s="216"/>
      <c r="DB37" s="216"/>
      <c r="DC37" s="216"/>
      <c r="DD37" s="216"/>
      <c r="DE37" s="216"/>
      <c r="DF37" s="216"/>
      <c r="DG37" s="216"/>
      <c r="DH37" s="216"/>
      <c r="DI37" s="216"/>
      <c r="DJ37" s="216"/>
      <c r="DK37" s="216"/>
      <c r="DL37" s="216"/>
      <c r="DM37" s="216"/>
      <c r="DN37" s="216"/>
      <c r="DO37" s="216"/>
      <c r="DP37" s="216"/>
      <c r="DQ37" s="216"/>
      <c r="DR37" s="216"/>
      <c r="DS37" s="216"/>
      <c r="DT37" s="216"/>
      <c r="DU37" s="216"/>
      <c r="DV37" s="216"/>
      <c r="DW37" s="216"/>
      <c r="DX37" s="216"/>
      <c r="DY37" s="216"/>
      <c r="DZ37" s="217"/>
      <c r="EA37" s="216"/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216"/>
      <c r="EO37" s="216"/>
      <c r="EP37" s="216"/>
      <c r="EQ37" s="216"/>
      <c r="ER37" s="216"/>
      <c r="ES37" s="217"/>
      <c r="ET37" s="216"/>
      <c r="EU37" s="216"/>
      <c r="EV37" s="216"/>
      <c r="EW37" s="216"/>
      <c r="EX37" s="216"/>
      <c r="EY37" s="216"/>
      <c r="EZ37" s="216"/>
      <c r="FA37" s="216"/>
      <c r="FB37" s="216"/>
      <c r="FC37" s="216"/>
      <c r="FD37" s="216"/>
      <c r="FE37" s="216"/>
      <c r="FF37" s="216"/>
      <c r="FG37" s="216"/>
      <c r="FH37" s="216"/>
      <c r="FI37" s="216"/>
      <c r="FJ37" s="216"/>
      <c r="FK37" s="216"/>
      <c r="FL37" s="216"/>
      <c r="FM37" s="217"/>
      <c r="FN37" s="216"/>
      <c r="FO37" s="216"/>
      <c r="FP37" s="216"/>
      <c r="FQ37" s="216"/>
      <c r="FR37" s="216"/>
      <c r="FS37" s="216"/>
      <c r="FT37" s="216"/>
      <c r="FU37" s="216"/>
      <c r="FV37" s="216"/>
      <c r="FW37" s="216"/>
      <c r="FX37" s="216"/>
      <c r="FY37" s="216"/>
      <c r="FZ37" s="216"/>
      <c r="GA37" s="216"/>
      <c r="GB37" s="216"/>
      <c r="GC37" s="216"/>
      <c r="GD37" s="216"/>
      <c r="GE37" s="216"/>
      <c r="GF37" s="216"/>
      <c r="GG37" s="216"/>
      <c r="GH37" s="216"/>
      <c r="GI37" s="216"/>
      <c r="GJ37" s="216"/>
      <c r="GK37" s="216"/>
      <c r="GL37" s="216"/>
      <c r="GM37" s="216"/>
      <c r="GN37" s="216"/>
      <c r="GO37" s="216"/>
      <c r="GP37" s="216"/>
      <c r="GQ37" s="216"/>
      <c r="GR37" s="216"/>
      <c r="GS37" s="216"/>
      <c r="GT37" s="216"/>
      <c r="GU37" s="216"/>
      <c r="GV37" s="216"/>
      <c r="GW37" s="216"/>
      <c r="GX37" s="216"/>
      <c r="GY37" s="216"/>
      <c r="GZ37" s="216"/>
      <c r="HA37" s="216"/>
      <c r="HB37" s="216"/>
      <c r="HC37" s="216"/>
      <c r="HD37" s="216"/>
      <c r="HE37" s="216"/>
      <c r="HF37" s="216"/>
      <c r="HG37" s="216"/>
      <c r="HH37" s="216"/>
      <c r="HI37" s="216"/>
      <c r="HJ37" s="217"/>
    </row>
    <row r="38" ht="15.0" customHeight="1">
      <c r="A38" s="189"/>
      <c r="B38" s="13"/>
      <c r="C38" s="218"/>
      <c r="D38" s="4" t="s"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6"/>
      <c r="AS38" s="219"/>
      <c r="AT38" s="8" t="s">
        <v>1</v>
      </c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10"/>
      <c r="CQ38" s="220"/>
      <c r="CR38" s="221" t="s">
        <v>85</v>
      </c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3"/>
      <c r="DZ38" s="219"/>
      <c r="EA38" s="14" t="s">
        <v>3</v>
      </c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6"/>
      <c r="ES38" s="219"/>
      <c r="ET38" s="17" t="s">
        <v>86</v>
      </c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9"/>
      <c r="FM38" s="219"/>
      <c r="FN38" s="20" t="s">
        <v>87</v>
      </c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2"/>
      <c r="HJ38" s="222"/>
    </row>
    <row r="39" ht="15.0" customHeight="1">
      <c r="A39" s="23" t="s">
        <v>88</v>
      </c>
      <c r="B39" s="223"/>
      <c r="D39" s="224" t="s">
        <v>7</v>
      </c>
      <c r="E39" s="27"/>
      <c r="F39" s="27"/>
      <c r="G39" s="27"/>
      <c r="H39" s="27"/>
      <c r="I39" s="27"/>
      <c r="J39" s="27"/>
      <c r="K39" s="27"/>
      <c r="L39" s="28"/>
      <c r="M39" s="225" t="s">
        <v>8</v>
      </c>
      <c r="N39" s="226">
        <v>44562.0</v>
      </c>
      <c r="O39" s="226">
        <v>44563.0</v>
      </c>
      <c r="P39" s="226">
        <v>44564.0</v>
      </c>
      <c r="Q39" s="226">
        <v>44565.0</v>
      </c>
      <c r="R39" s="226">
        <v>44566.0</v>
      </c>
      <c r="S39" s="226">
        <v>44567.0</v>
      </c>
      <c r="T39" s="226">
        <v>44568.0</v>
      </c>
      <c r="U39" s="226">
        <v>44569.0</v>
      </c>
      <c r="V39" s="226">
        <v>44570.0</v>
      </c>
      <c r="W39" s="226">
        <v>44571.0</v>
      </c>
      <c r="X39" s="226">
        <v>44572.0</v>
      </c>
      <c r="Y39" s="226">
        <v>44573.0</v>
      </c>
      <c r="Z39" s="226">
        <v>44574.0</v>
      </c>
      <c r="AA39" s="226">
        <v>44575.0</v>
      </c>
      <c r="AB39" s="226">
        <v>44576.0</v>
      </c>
      <c r="AC39" s="226">
        <v>44577.0</v>
      </c>
      <c r="AD39" s="226">
        <v>44578.0</v>
      </c>
      <c r="AE39" s="226">
        <v>44579.0</v>
      </c>
      <c r="AF39" s="226">
        <v>44580.0</v>
      </c>
      <c r="AG39" s="226">
        <v>44581.0</v>
      </c>
      <c r="AH39" s="226">
        <v>44582.0</v>
      </c>
      <c r="AI39" s="226">
        <v>44583.0</v>
      </c>
      <c r="AJ39" s="226">
        <v>44584.0</v>
      </c>
      <c r="AK39" s="226">
        <v>44585.0</v>
      </c>
      <c r="AL39" s="226">
        <v>44586.0</v>
      </c>
      <c r="AM39" s="226">
        <v>44587.0</v>
      </c>
      <c r="AN39" s="226">
        <v>44588.0</v>
      </c>
      <c r="AO39" s="226">
        <v>44589.0</v>
      </c>
      <c r="AP39" s="226">
        <v>44590.0</v>
      </c>
      <c r="AQ39" s="226">
        <v>44591.0</v>
      </c>
      <c r="AR39" s="226">
        <v>44592.0</v>
      </c>
      <c r="AT39" s="227" t="s">
        <v>9</v>
      </c>
      <c r="AU39" s="228"/>
      <c r="AV39" s="228"/>
      <c r="AW39" s="229"/>
      <c r="AX39" s="230" t="s">
        <v>89</v>
      </c>
      <c r="AY39" s="228"/>
      <c r="AZ39" s="229"/>
      <c r="BA39" s="231"/>
      <c r="BB39" s="228"/>
      <c r="BC39" s="229"/>
      <c r="BD39" s="231"/>
      <c r="BE39" s="228"/>
      <c r="BF39" s="229"/>
      <c r="BG39" s="231"/>
      <c r="BH39" s="228"/>
      <c r="BI39" s="229"/>
      <c r="BJ39" s="231"/>
      <c r="BK39" s="228"/>
      <c r="BL39" s="229"/>
      <c r="BM39" s="231"/>
      <c r="BN39" s="228"/>
      <c r="BO39" s="229"/>
      <c r="BP39" s="231"/>
      <c r="BQ39" s="228"/>
      <c r="BR39" s="229"/>
      <c r="BS39" s="231"/>
      <c r="BT39" s="228"/>
      <c r="BU39" s="229"/>
      <c r="BV39" s="231"/>
      <c r="BW39" s="228"/>
      <c r="BX39" s="229"/>
      <c r="BY39" s="231"/>
      <c r="BZ39" s="228"/>
      <c r="CA39" s="229"/>
      <c r="CB39" s="231"/>
      <c r="CC39" s="228"/>
      <c r="CD39" s="229"/>
      <c r="CE39" s="231"/>
      <c r="CF39" s="228"/>
      <c r="CG39" s="229"/>
      <c r="CH39" s="231"/>
      <c r="CI39" s="228"/>
      <c r="CJ39" s="229"/>
      <c r="CK39" s="231"/>
      <c r="CL39" s="228"/>
      <c r="CM39" s="229"/>
      <c r="CN39" s="231"/>
      <c r="CO39" s="228"/>
      <c r="CP39" s="229"/>
      <c r="CQ39" s="220"/>
      <c r="CR39" s="37" t="s">
        <v>10</v>
      </c>
      <c r="CS39" s="12"/>
      <c r="CT39" s="13"/>
      <c r="CU39" s="37" t="s">
        <v>11</v>
      </c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3"/>
      <c r="DH39" s="232" t="s">
        <v>12</v>
      </c>
      <c r="DI39" s="12"/>
      <c r="DJ39" s="13"/>
      <c r="DK39" s="232" t="s">
        <v>13</v>
      </c>
      <c r="DL39" s="12"/>
      <c r="DM39" s="13"/>
      <c r="DN39" s="233" t="s">
        <v>90</v>
      </c>
      <c r="DO39" s="12"/>
      <c r="DP39" s="13"/>
      <c r="DQ39" s="37" t="s">
        <v>91</v>
      </c>
      <c r="DR39" s="12"/>
      <c r="DS39" s="13"/>
      <c r="DT39" s="234" t="s">
        <v>16</v>
      </c>
      <c r="DU39" s="12"/>
      <c r="DV39" s="13"/>
      <c r="DW39" s="233" t="s">
        <v>92</v>
      </c>
      <c r="DX39" s="12"/>
      <c r="DY39" s="13"/>
      <c r="EA39" s="235" t="s">
        <v>18</v>
      </c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6"/>
      <c r="EO39" s="236" t="s">
        <v>93</v>
      </c>
      <c r="EP39" s="16"/>
      <c r="EQ39" s="236" t="s">
        <v>94</v>
      </c>
      <c r="ER39" s="16"/>
      <c r="ET39" s="237" t="s">
        <v>20</v>
      </c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9"/>
      <c r="FJ39" s="238" t="s">
        <v>21</v>
      </c>
      <c r="FK39" s="18"/>
      <c r="FL39" s="19"/>
      <c r="FN39" s="239" t="s">
        <v>22</v>
      </c>
      <c r="FO39" s="240"/>
      <c r="FP39" s="240"/>
      <c r="FQ39" s="240"/>
      <c r="FR39" s="240"/>
      <c r="FS39" s="240"/>
      <c r="FT39" s="240"/>
      <c r="FU39" s="240"/>
      <c r="FV39" s="240"/>
      <c r="FW39" s="240"/>
      <c r="FX39" s="240"/>
      <c r="FY39" s="241"/>
      <c r="FZ39" s="242" t="s">
        <v>23</v>
      </c>
      <c r="GA39" s="241"/>
      <c r="GB39" s="243">
        <v>44317.0</v>
      </c>
      <c r="GC39" s="243">
        <v>44318.0</v>
      </c>
      <c r="GD39" s="243">
        <v>44319.0</v>
      </c>
      <c r="GE39" s="243">
        <v>44320.0</v>
      </c>
      <c r="GF39" s="243">
        <v>44321.0</v>
      </c>
      <c r="GG39" s="243">
        <v>44322.0</v>
      </c>
      <c r="GH39" s="243">
        <v>44323.0</v>
      </c>
      <c r="GI39" s="243">
        <v>44324.0</v>
      </c>
      <c r="GJ39" s="243">
        <v>44325.0</v>
      </c>
      <c r="GK39" s="243">
        <v>44326.0</v>
      </c>
      <c r="GL39" s="243">
        <v>44327.0</v>
      </c>
      <c r="GM39" s="243">
        <v>44328.0</v>
      </c>
      <c r="GN39" s="243">
        <v>44329.0</v>
      </c>
      <c r="GO39" s="243">
        <v>44330.0</v>
      </c>
      <c r="GP39" s="243">
        <v>44331.0</v>
      </c>
      <c r="GQ39" s="243">
        <v>44332.0</v>
      </c>
      <c r="GR39" s="243">
        <v>44333.0</v>
      </c>
      <c r="GS39" s="243">
        <v>44334.0</v>
      </c>
      <c r="GT39" s="243">
        <v>44335.0</v>
      </c>
      <c r="GU39" s="243">
        <v>44336.0</v>
      </c>
      <c r="GV39" s="243">
        <v>44337.0</v>
      </c>
      <c r="GW39" s="243">
        <v>44338.0</v>
      </c>
      <c r="GX39" s="243">
        <v>44339.0</v>
      </c>
      <c r="GY39" s="243">
        <v>44340.0</v>
      </c>
      <c r="GZ39" s="243">
        <v>44341.0</v>
      </c>
      <c r="HA39" s="243">
        <v>44342.0</v>
      </c>
      <c r="HB39" s="243">
        <v>44343.0</v>
      </c>
      <c r="HC39" s="243">
        <v>44344.0</v>
      </c>
      <c r="HD39" s="243">
        <v>44345.0</v>
      </c>
      <c r="HE39" s="243">
        <v>44346.0</v>
      </c>
      <c r="HF39" s="243">
        <v>44347.0</v>
      </c>
      <c r="HG39" s="244" t="s">
        <v>24</v>
      </c>
      <c r="HH39" s="240"/>
      <c r="HI39" s="241"/>
      <c r="HJ39" s="35"/>
    </row>
    <row r="40" ht="15.0" customHeight="1">
      <c r="A40" s="54"/>
      <c r="B40" s="245"/>
      <c r="D40" s="55"/>
      <c r="L40" s="33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T40" s="246"/>
      <c r="AU40" s="247"/>
      <c r="AV40" s="247"/>
      <c r="AW40" s="248"/>
      <c r="AX40" s="246"/>
      <c r="AY40" s="247"/>
      <c r="AZ40" s="248"/>
      <c r="BA40" s="246"/>
      <c r="BB40" s="247"/>
      <c r="BC40" s="248"/>
      <c r="BD40" s="246"/>
      <c r="BE40" s="247"/>
      <c r="BF40" s="248"/>
      <c r="BG40" s="246"/>
      <c r="BH40" s="247"/>
      <c r="BI40" s="248"/>
      <c r="BJ40" s="246"/>
      <c r="BK40" s="247"/>
      <c r="BL40" s="248"/>
      <c r="BM40" s="246"/>
      <c r="BN40" s="247"/>
      <c r="BO40" s="248"/>
      <c r="BP40" s="246"/>
      <c r="BQ40" s="247"/>
      <c r="BR40" s="248"/>
      <c r="BS40" s="246"/>
      <c r="BT40" s="247"/>
      <c r="BU40" s="248"/>
      <c r="BV40" s="246"/>
      <c r="BW40" s="247"/>
      <c r="BX40" s="248"/>
      <c r="BY40" s="246"/>
      <c r="BZ40" s="247"/>
      <c r="CA40" s="248"/>
      <c r="CB40" s="246"/>
      <c r="CC40" s="247"/>
      <c r="CD40" s="248"/>
      <c r="CE40" s="246"/>
      <c r="CF40" s="247"/>
      <c r="CG40" s="248"/>
      <c r="CH40" s="246"/>
      <c r="CI40" s="247"/>
      <c r="CJ40" s="248"/>
      <c r="CK40" s="246"/>
      <c r="CL40" s="247"/>
      <c r="CM40" s="248"/>
      <c r="CN40" s="246"/>
      <c r="CO40" s="247"/>
      <c r="CP40" s="248"/>
      <c r="CQ40" s="220"/>
      <c r="CR40" s="249"/>
      <c r="CS40" s="12"/>
      <c r="CT40" s="13"/>
      <c r="CU40" s="250" t="s">
        <v>25</v>
      </c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3"/>
      <c r="DH40" s="251">
        <f t="shared" ref="DH40:DH45" si="11">SUM(N43:AR43)</f>
        <v>27</v>
      </c>
      <c r="DI40" s="12"/>
      <c r="DJ40" s="13"/>
      <c r="DK40" s="252">
        <v>0.0</v>
      </c>
      <c r="DL40" s="12"/>
      <c r="DM40" s="13"/>
      <c r="DN40" s="253">
        <f t="shared" ref="DN40:DN51" si="12">CR40*DT40/100</f>
        <v>0</v>
      </c>
      <c r="DO40" s="12"/>
      <c r="DP40" s="13"/>
      <c r="DQ40" s="252">
        <v>0.0</v>
      </c>
      <c r="DR40" s="12"/>
      <c r="DS40" s="13"/>
      <c r="DT40" s="254">
        <v>0.0</v>
      </c>
      <c r="DU40" s="12"/>
      <c r="DV40" s="13"/>
      <c r="DW40" s="255">
        <f>(DK40-DH40)/'График'!AK12</f>
        <v>-1.173913043</v>
      </c>
      <c r="DX40" s="12"/>
      <c r="DY40" s="13"/>
      <c r="EA40" s="256" t="s">
        <v>26</v>
      </c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6"/>
      <c r="EO40" s="257">
        <f>DH42*100/DH40</f>
        <v>22.22222222</v>
      </c>
      <c r="EP40" s="16"/>
      <c r="EQ40" s="257">
        <f>((DH42*100/DH40)+EO21)/2</f>
        <v>18.92361111</v>
      </c>
      <c r="ER40" s="16"/>
      <c r="ET40" s="258" t="s">
        <v>27</v>
      </c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9"/>
      <c r="FJ40" s="259">
        <f>HG49</f>
        <v>0</v>
      </c>
      <c r="FK40" s="18"/>
      <c r="FL40" s="19"/>
      <c r="FN40" s="260"/>
      <c r="FY40" s="261"/>
      <c r="FZ40" s="260"/>
      <c r="GA40" s="261"/>
      <c r="GB40" s="262"/>
      <c r="GC40" s="262"/>
      <c r="GD40" s="262"/>
      <c r="GE40" s="262"/>
      <c r="GF40" s="262"/>
      <c r="GG40" s="262"/>
      <c r="GH40" s="262"/>
      <c r="GI40" s="262"/>
      <c r="GJ40" s="262"/>
      <c r="GK40" s="262"/>
      <c r="GL40" s="262"/>
      <c r="GM40" s="262"/>
      <c r="GN40" s="262"/>
      <c r="GO40" s="262"/>
      <c r="GP40" s="262"/>
      <c r="GQ40" s="262"/>
      <c r="GR40" s="262"/>
      <c r="GS40" s="262"/>
      <c r="GT40" s="262"/>
      <c r="GU40" s="262"/>
      <c r="GV40" s="262"/>
      <c r="GW40" s="262"/>
      <c r="GX40" s="262"/>
      <c r="GY40" s="262"/>
      <c r="GZ40" s="262"/>
      <c r="HA40" s="262"/>
      <c r="HB40" s="262"/>
      <c r="HC40" s="262"/>
      <c r="HD40" s="262"/>
      <c r="HE40" s="262"/>
      <c r="HF40" s="262"/>
      <c r="HG40" s="260"/>
      <c r="HI40" s="261"/>
      <c r="HJ40" s="35"/>
    </row>
    <row r="41" ht="15.0" customHeight="1">
      <c r="A41" s="54"/>
      <c r="B41" s="245"/>
      <c r="D41" s="55"/>
      <c r="L41" s="33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T41" s="263" t="s">
        <v>21</v>
      </c>
      <c r="AU41" s="9"/>
      <c r="AV41" s="9"/>
      <c r="AW41" s="10"/>
      <c r="AX41" s="264">
        <v>25000.0</v>
      </c>
      <c r="AY41" s="9"/>
      <c r="AZ41" s="10"/>
      <c r="BA41" s="264"/>
      <c r="BB41" s="9"/>
      <c r="BC41" s="10"/>
      <c r="BD41" s="264"/>
      <c r="BE41" s="9"/>
      <c r="BF41" s="10"/>
      <c r="BG41" s="264"/>
      <c r="BH41" s="9"/>
      <c r="BI41" s="10"/>
      <c r="BJ41" s="264"/>
      <c r="BK41" s="9"/>
      <c r="BL41" s="10"/>
      <c r="BM41" s="264"/>
      <c r="BN41" s="9"/>
      <c r="BO41" s="10"/>
      <c r="BP41" s="264"/>
      <c r="BQ41" s="9"/>
      <c r="BR41" s="10"/>
      <c r="BS41" s="264"/>
      <c r="BT41" s="9"/>
      <c r="BU41" s="10"/>
      <c r="BV41" s="264"/>
      <c r="BW41" s="9"/>
      <c r="BX41" s="10"/>
      <c r="BY41" s="264"/>
      <c r="BZ41" s="9"/>
      <c r="CA41" s="10"/>
      <c r="CB41" s="264"/>
      <c r="CC41" s="9"/>
      <c r="CD41" s="10"/>
      <c r="CE41" s="264"/>
      <c r="CF41" s="9"/>
      <c r="CG41" s="10"/>
      <c r="CH41" s="264"/>
      <c r="CI41" s="9"/>
      <c r="CJ41" s="10"/>
      <c r="CK41" s="264"/>
      <c r="CL41" s="9"/>
      <c r="CM41" s="10"/>
      <c r="CN41" s="264"/>
      <c r="CO41" s="9"/>
      <c r="CP41" s="10"/>
      <c r="CQ41" s="220"/>
      <c r="CR41" s="249"/>
      <c r="CS41" s="12"/>
      <c r="CT41" s="13"/>
      <c r="CU41" s="250" t="s">
        <v>28</v>
      </c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3"/>
      <c r="DH41" s="251">
        <f t="shared" si="11"/>
        <v>150</v>
      </c>
      <c r="DI41" s="12"/>
      <c r="DJ41" s="13"/>
      <c r="DK41" s="252">
        <v>80.0</v>
      </c>
      <c r="DL41" s="12"/>
      <c r="DM41" s="13"/>
      <c r="DN41" s="253">
        <f t="shared" si="12"/>
        <v>0</v>
      </c>
      <c r="DO41" s="12"/>
      <c r="DP41" s="13"/>
      <c r="DQ41" s="251">
        <f t="shared" ref="DQ41:DQ44" si="13">IF(DH41&lt;DK41,DH41,IF(DH41&gt;=DK41,DK41))</f>
        <v>80</v>
      </c>
      <c r="DR41" s="12"/>
      <c r="DS41" s="13"/>
      <c r="DT41" s="254">
        <f t="shared" ref="DT41:DT44" si="14">DQ41*100/DK41</f>
        <v>100</v>
      </c>
      <c r="DU41" s="12"/>
      <c r="DV41" s="13"/>
      <c r="DW41" s="255">
        <f>(DK41-DH41)/'График'!AK12</f>
        <v>-3.043478261</v>
      </c>
      <c r="DX41" s="12"/>
      <c r="DY41" s="13"/>
      <c r="EA41" s="256" t="s">
        <v>29</v>
      </c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6"/>
      <c r="EO41" s="257">
        <f>DH43*100/DH40</f>
        <v>18.51851852</v>
      </c>
      <c r="EP41" s="16"/>
      <c r="EQ41" s="257">
        <f>((DH42*100/DH40)+EO22)/2</f>
        <v>18.92361111</v>
      </c>
      <c r="ER41" s="16"/>
      <c r="ET41" s="265" t="s">
        <v>30</v>
      </c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9"/>
      <c r="FJ41" s="259">
        <f>sum(DN43,DN44,DN46)</f>
        <v>10000</v>
      </c>
      <c r="FK41" s="18"/>
      <c r="FL41" s="19"/>
      <c r="FN41" s="260"/>
      <c r="FY41" s="261"/>
      <c r="FZ41" s="260"/>
      <c r="GA41" s="261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62"/>
      <c r="GM41" s="262"/>
      <c r="GN41" s="262"/>
      <c r="GO41" s="262"/>
      <c r="GP41" s="262"/>
      <c r="GQ41" s="262"/>
      <c r="GR41" s="262"/>
      <c r="GS41" s="262"/>
      <c r="GT41" s="262"/>
      <c r="GU41" s="262"/>
      <c r="GV41" s="262"/>
      <c r="GW41" s="262"/>
      <c r="GX41" s="262"/>
      <c r="GY41" s="262"/>
      <c r="GZ41" s="262"/>
      <c r="HA41" s="262"/>
      <c r="HB41" s="262"/>
      <c r="HC41" s="262"/>
      <c r="HD41" s="262"/>
      <c r="HE41" s="262"/>
      <c r="HF41" s="262"/>
      <c r="HG41" s="260"/>
      <c r="HI41" s="261"/>
      <c r="HJ41" s="35"/>
    </row>
    <row r="42" ht="15.0" customHeight="1">
      <c r="A42" s="54"/>
      <c r="B42" s="245"/>
      <c r="D42" s="57"/>
      <c r="E42" s="39"/>
      <c r="F42" s="39"/>
      <c r="G42" s="39"/>
      <c r="H42" s="39"/>
      <c r="I42" s="39"/>
      <c r="J42" s="39"/>
      <c r="K42" s="39"/>
      <c r="L42" s="40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T42" s="266" t="s">
        <v>31</v>
      </c>
      <c r="AU42" s="9"/>
      <c r="AV42" s="9"/>
      <c r="AW42" s="10"/>
      <c r="AX42" s="267">
        <v>1.0</v>
      </c>
      <c r="AY42" s="9"/>
      <c r="AZ42" s="10"/>
      <c r="BA42" s="267">
        <v>1.0</v>
      </c>
      <c r="BB42" s="9"/>
      <c r="BC42" s="10"/>
      <c r="BD42" s="267"/>
      <c r="BE42" s="9"/>
      <c r="BF42" s="10"/>
      <c r="BG42" s="267"/>
      <c r="BH42" s="9"/>
      <c r="BI42" s="10"/>
      <c r="BJ42" s="267"/>
      <c r="BK42" s="9"/>
      <c r="BL42" s="10"/>
      <c r="BM42" s="267"/>
      <c r="BN42" s="9"/>
      <c r="BO42" s="10"/>
      <c r="BP42" s="267"/>
      <c r="BQ42" s="9"/>
      <c r="BR42" s="10"/>
      <c r="BS42" s="267"/>
      <c r="BT42" s="9"/>
      <c r="BU42" s="10"/>
      <c r="BV42" s="267"/>
      <c r="BW42" s="9"/>
      <c r="BX42" s="10"/>
      <c r="BY42" s="267"/>
      <c r="BZ42" s="9"/>
      <c r="CA42" s="10"/>
      <c r="CB42" s="267"/>
      <c r="CC42" s="9"/>
      <c r="CD42" s="10"/>
      <c r="CE42" s="267"/>
      <c r="CF42" s="9"/>
      <c r="CG42" s="10"/>
      <c r="CH42" s="267"/>
      <c r="CI42" s="9"/>
      <c r="CJ42" s="10"/>
      <c r="CK42" s="267"/>
      <c r="CL42" s="9"/>
      <c r="CM42" s="10"/>
      <c r="CN42" s="267"/>
      <c r="CO42" s="9"/>
      <c r="CP42" s="10"/>
      <c r="CQ42" s="220"/>
      <c r="CR42" s="249"/>
      <c r="CS42" s="12"/>
      <c r="CT42" s="13"/>
      <c r="CU42" s="268" t="s">
        <v>32</v>
      </c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3"/>
      <c r="DH42" s="251">
        <f t="shared" si="11"/>
        <v>6</v>
      </c>
      <c r="DI42" s="12"/>
      <c r="DJ42" s="13"/>
      <c r="DK42" s="252">
        <v>5.0</v>
      </c>
      <c r="DL42" s="12"/>
      <c r="DM42" s="13"/>
      <c r="DN42" s="253">
        <f t="shared" si="12"/>
        <v>0</v>
      </c>
      <c r="DO42" s="12"/>
      <c r="DP42" s="13"/>
      <c r="DQ42" s="251">
        <f t="shared" si="13"/>
        <v>5</v>
      </c>
      <c r="DR42" s="12"/>
      <c r="DS42" s="13"/>
      <c r="DT42" s="254">
        <f t="shared" si="14"/>
        <v>100</v>
      </c>
      <c r="DU42" s="12"/>
      <c r="DV42" s="13"/>
      <c r="DW42" s="255">
        <f>(DK42-DH42)/'График'!AK12</f>
        <v>-0.04347826087</v>
      </c>
      <c r="DX42" s="12"/>
      <c r="DY42" s="13"/>
      <c r="EA42" s="269" t="s">
        <v>33</v>
      </c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6"/>
      <c r="EO42" s="257">
        <f>DH44*100/DH40</f>
        <v>0</v>
      </c>
      <c r="EP42" s="16"/>
      <c r="EQ42" s="257">
        <f>((DH44*100/DH40)+EO23)/2</f>
        <v>3.125</v>
      </c>
      <c r="ER42" s="16"/>
      <c r="ET42" s="265" t="s">
        <v>34</v>
      </c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9"/>
      <c r="FJ42" s="270">
        <f>sum(DT43,DT44,DT46)/3</f>
        <v>33.33333333</v>
      </c>
      <c r="FK42" s="18"/>
      <c r="FL42" s="19"/>
      <c r="FN42" s="271"/>
      <c r="FO42" s="272"/>
      <c r="FP42" s="272"/>
      <c r="FQ42" s="272"/>
      <c r="FR42" s="272"/>
      <c r="FS42" s="272"/>
      <c r="FT42" s="272"/>
      <c r="FU42" s="272"/>
      <c r="FV42" s="272"/>
      <c r="FW42" s="272"/>
      <c r="FX42" s="272"/>
      <c r="FY42" s="273"/>
      <c r="FZ42" s="271"/>
      <c r="GA42" s="273"/>
      <c r="GB42" s="274"/>
      <c r="GC42" s="274"/>
      <c r="GD42" s="274"/>
      <c r="GE42" s="274"/>
      <c r="GF42" s="274"/>
      <c r="GG42" s="274"/>
      <c r="GH42" s="274"/>
      <c r="GI42" s="274"/>
      <c r="GJ42" s="274"/>
      <c r="GK42" s="274"/>
      <c r="GL42" s="274"/>
      <c r="GM42" s="274"/>
      <c r="GN42" s="274"/>
      <c r="GO42" s="274"/>
      <c r="GP42" s="274"/>
      <c r="GQ42" s="274"/>
      <c r="GR42" s="274"/>
      <c r="GS42" s="274"/>
      <c r="GT42" s="274"/>
      <c r="GU42" s="274"/>
      <c r="GV42" s="274"/>
      <c r="GW42" s="274"/>
      <c r="GX42" s="274"/>
      <c r="GY42" s="274"/>
      <c r="GZ42" s="274"/>
      <c r="HA42" s="274"/>
      <c r="HB42" s="274"/>
      <c r="HC42" s="274"/>
      <c r="HD42" s="274"/>
      <c r="HE42" s="274"/>
      <c r="HF42" s="274"/>
      <c r="HG42" s="271"/>
      <c r="HH42" s="272"/>
      <c r="HI42" s="273"/>
      <c r="HJ42" s="35"/>
    </row>
    <row r="43" ht="15.0" customHeight="1">
      <c r="A43" s="54"/>
      <c r="B43" s="245"/>
      <c r="D43" s="275" t="s">
        <v>35</v>
      </c>
      <c r="E43" s="5"/>
      <c r="F43" s="5"/>
      <c r="G43" s="5"/>
      <c r="H43" s="5"/>
      <c r="I43" s="5"/>
      <c r="J43" s="5"/>
      <c r="K43" s="5"/>
      <c r="L43" s="5"/>
      <c r="M43" s="6"/>
      <c r="N43" s="276"/>
      <c r="O43" s="276">
        <v>0.0</v>
      </c>
      <c r="P43" s="276"/>
      <c r="Q43" s="276"/>
      <c r="R43" s="276"/>
      <c r="S43" s="276"/>
      <c r="T43" s="276">
        <v>0.0</v>
      </c>
      <c r="U43" s="276">
        <v>0.0</v>
      </c>
      <c r="V43" s="276">
        <v>0.0</v>
      </c>
      <c r="W43" s="276">
        <v>0.0</v>
      </c>
      <c r="X43" s="276">
        <v>1.0</v>
      </c>
      <c r="Y43" s="276">
        <v>0.0</v>
      </c>
      <c r="Z43" s="276">
        <v>0.0</v>
      </c>
      <c r="AA43" s="276">
        <v>0.0</v>
      </c>
      <c r="AB43" s="276">
        <v>0.0</v>
      </c>
      <c r="AC43" s="276">
        <v>5.0</v>
      </c>
      <c r="AD43" s="276"/>
      <c r="AE43" s="276">
        <v>4.0</v>
      </c>
      <c r="AF43" s="276">
        <v>0.0</v>
      </c>
      <c r="AG43" s="276"/>
      <c r="AH43" s="276"/>
      <c r="AI43" s="276"/>
      <c r="AJ43" s="276"/>
      <c r="AK43" s="276">
        <v>7.0</v>
      </c>
      <c r="AL43" s="276">
        <v>3.0</v>
      </c>
      <c r="AM43" s="276">
        <v>2.0</v>
      </c>
      <c r="AN43" s="276">
        <v>4.0</v>
      </c>
      <c r="AO43" s="276"/>
      <c r="AP43" s="276"/>
      <c r="AQ43" s="276">
        <v>1.0</v>
      </c>
      <c r="AR43" s="276"/>
      <c r="AT43" s="277" t="s">
        <v>36</v>
      </c>
      <c r="AU43" s="9"/>
      <c r="AV43" s="10"/>
      <c r="AW43" s="278" t="s">
        <v>37</v>
      </c>
      <c r="AX43" s="279">
        <v>10.0</v>
      </c>
      <c r="AY43" s="9"/>
      <c r="AZ43" s="10"/>
      <c r="BA43" s="279">
        <v>5.0</v>
      </c>
      <c r="BB43" s="9"/>
      <c r="BC43" s="10"/>
      <c r="BD43" s="279">
        <v>10.0</v>
      </c>
      <c r="BE43" s="9"/>
      <c r="BF43" s="10"/>
      <c r="BG43" s="279">
        <v>10.0</v>
      </c>
      <c r="BH43" s="9"/>
      <c r="BI43" s="10"/>
      <c r="BJ43" s="279">
        <v>10.0</v>
      </c>
      <c r="BK43" s="9"/>
      <c r="BL43" s="10"/>
      <c r="BM43" s="279">
        <v>10.0</v>
      </c>
      <c r="BN43" s="9"/>
      <c r="BO43" s="10"/>
      <c r="BP43" s="279">
        <v>10.0</v>
      </c>
      <c r="BQ43" s="9"/>
      <c r="BR43" s="10"/>
      <c r="BS43" s="279">
        <v>10.0</v>
      </c>
      <c r="BT43" s="9"/>
      <c r="BU43" s="10"/>
      <c r="BV43" s="279">
        <v>10.0</v>
      </c>
      <c r="BW43" s="9"/>
      <c r="BX43" s="10"/>
      <c r="BY43" s="279">
        <v>10.0</v>
      </c>
      <c r="BZ43" s="9"/>
      <c r="CA43" s="10"/>
      <c r="CB43" s="279">
        <v>10.0</v>
      </c>
      <c r="CC43" s="9"/>
      <c r="CD43" s="10"/>
      <c r="CE43" s="279">
        <v>10.0</v>
      </c>
      <c r="CF43" s="9"/>
      <c r="CG43" s="10"/>
      <c r="CH43" s="279">
        <v>10.0</v>
      </c>
      <c r="CI43" s="9"/>
      <c r="CJ43" s="10"/>
      <c r="CK43" s="279">
        <v>10.0</v>
      </c>
      <c r="CL43" s="9"/>
      <c r="CM43" s="10"/>
      <c r="CN43" s="279">
        <v>10.0</v>
      </c>
      <c r="CO43" s="9"/>
      <c r="CP43" s="10"/>
      <c r="CQ43" s="220"/>
      <c r="CR43" s="249">
        <v>10000.0</v>
      </c>
      <c r="CS43" s="12"/>
      <c r="CT43" s="13"/>
      <c r="CU43" s="268" t="s">
        <v>38</v>
      </c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3"/>
      <c r="DH43" s="251">
        <f t="shared" si="11"/>
        <v>5</v>
      </c>
      <c r="DI43" s="12"/>
      <c r="DJ43" s="13"/>
      <c r="DK43" s="252">
        <v>5.0</v>
      </c>
      <c r="DL43" s="12"/>
      <c r="DM43" s="13"/>
      <c r="DN43" s="253">
        <f t="shared" si="12"/>
        <v>10000</v>
      </c>
      <c r="DO43" s="12"/>
      <c r="DP43" s="13"/>
      <c r="DQ43" s="251">
        <f t="shared" si="13"/>
        <v>5</v>
      </c>
      <c r="DR43" s="12"/>
      <c r="DS43" s="13"/>
      <c r="DT43" s="254">
        <f t="shared" si="14"/>
        <v>100</v>
      </c>
      <c r="DU43" s="12"/>
      <c r="DV43" s="13"/>
      <c r="DW43" s="255">
        <f>(DK43-DH43)/'График'!AK12</f>
        <v>0</v>
      </c>
      <c r="DX43" s="12"/>
      <c r="DY43" s="13"/>
      <c r="EA43" s="256" t="s">
        <v>39</v>
      </c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6"/>
      <c r="EO43" s="257">
        <f>DH42*100/DH41</f>
        <v>4</v>
      </c>
      <c r="EP43" s="16"/>
      <c r="EQ43" s="257">
        <f>((DH42*100/DH41)+EO24)/2</f>
        <v>3.037344398</v>
      </c>
      <c r="ER43" s="16"/>
      <c r="ET43" s="258" t="s">
        <v>40</v>
      </c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9"/>
      <c r="FJ43" s="259">
        <f>sum(AX52:CP52)</f>
        <v>6000</v>
      </c>
      <c r="FK43" s="18"/>
      <c r="FL43" s="19"/>
      <c r="FN43" s="280" t="s">
        <v>41</v>
      </c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2"/>
      <c r="FZ43" s="281">
        <v>200.0</v>
      </c>
      <c r="GA43" s="22"/>
      <c r="GB43" s="282"/>
      <c r="GC43" s="283"/>
      <c r="GD43" s="282"/>
      <c r="GE43" s="283"/>
      <c r="GF43" s="283"/>
      <c r="GG43" s="282"/>
      <c r="GH43" s="283"/>
      <c r="GI43" s="283"/>
      <c r="GJ43" s="283"/>
      <c r="GK43" s="282"/>
      <c r="GL43" s="282"/>
      <c r="GM43" s="283"/>
      <c r="GN43" s="282"/>
      <c r="GO43" s="283"/>
      <c r="GP43" s="283"/>
      <c r="GQ43" s="282"/>
      <c r="GR43" s="282"/>
      <c r="GS43" s="283"/>
      <c r="GT43" s="283"/>
      <c r="GU43" s="282"/>
      <c r="GV43" s="283"/>
      <c r="GW43" s="283"/>
      <c r="GX43" s="283"/>
      <c r="GY43" s="282"/>
      <c r="GZ43" s="283"/>
      <c r="HA43" s="283"/>
      <c r="HB43" s="283"/>
      <c r="HC43" s="282"/>
      <c r="HD43" s="283"/>
      <c r="HE43" s="283"/>
      <c r="HF43" s="284"/>
      <c r="HG43" s="285">
        <f t="shared" ref="HG43:HG48" si="15">sum(GB43:HF43)*FZ43</f>
        <v>0</v>
      </c>
      <c r="HH43" s="240"/>
      <c r="HI43" s="241"/>
      <c r="HJ43" s="35"/>
    </row>
    <row r="44" ht="15.0" customHeight="1">
      <c r="A44" s="54"/>
      <c r="B44" s="245"/>
      <c r="D44" s="286" t="s">
        <v>42</v>
      </c>
      <c r="E44" s="5"/>
      <c r="F44" s="5"/>
      <c r="G44" s="5"/>
      <c r="H44" s="5"/>
      <c r="I44" s="5"/>
      <c r="J44" s="5"/>
      <c r="K44" s="5"/>
      <c r="L44" s="5"/>
      <c r="M44" s="6"/>
      <c r="N44" s="276"/>
      <c r="O44" s="276">
        <v>1.0</v>
      </c>
      <c r="P44" s="276"/>
      <c r="Q44" s="276"/>
      <c r="R44" s="276"/>
      <c r="S44" s="276"/>
      <c r="T44" s="276">
        <v>14.0</v>
      </c>
      <c r="U44" s="276">
        <v>2.0</v>
      </c>
      <c r="V44" s="276">
        <v>22.0</v>
      </c>
      <c r="W44" s="276">
        <v>2.0</v>
      </c>
      <c r="X44" s="276">
        <v>8.0</v>
      </c>
      <c r="Y44" s="276">
        <v>17.0</v>
      </c>
      <c r="Z44" s="276">
        <v>9.0</v>
      </c>
      <c r="AA44" s="276">
        <v>3.0</v>
      </c>
      <c r="AB44" s="276">
        <v>3.0</v>
      </c>
      <c r="AC44" s="276">
        <v>7.0</v>
      </c>
      <c r="AD44" s="276"/>
      <c r="AE44" s="276">
        <v>12.0</v>
      </c>
      <c r="AF44" s="276">
        <v>0.0</v>
      </c>
      <c r="AG44" s="276"/>
      <c r="AH44" s="276"/>
      <c r="AI44" s="276"/>
      <c r="AJ44" s="276"/>
      <c r="AK44" s="276">
        <v>6.0</v>
      </c>
      <c r="AL44" s="276">
        <v>2.0</v>
      </c>
      <c r="AM44" s="276">
        <v>20.0</v>
      </c>
      <c r="AN44" s="276">
        <v>6.0</v>
      </c>
      <c r="AO44" s="276"/>
      <c r="AP44" s="276"/>
      <c r="AQ44" s="276">
        <v>16.0</v>
      </c>
      <c r="AR44" s="276"/>
      <c r="AT44" s="287">
        <f>SUM(AX44:CO44)</f>
        <v>2500</v>
      </c>
      <c r="AU44" s="9"/>
      <c r="AV44" s="9"/>
      <c r="AW44" s="10"/>
      <c r="AX44" s="288">
        <f>(AX41*AX43)/100</f>
        <v>2500</v>
      </c>
      <c r="AY44" s="9"/>
      <c r="AZ44" s="10"/>
      <c r="BA44" s="288">
        <f>(BA41*BA43)/100</f>
        <v>0</v>
      </c>
      <c r="BB44" s="9"/>
      <c r="BC44" s="10"/>
      <c r="BD44" s="288">
        <f>(BD41*BD43)/100</f>
        <v>0</v>
      </c>
      <c r="BE44" s="9"/>
      <c r="BF44" s="10"/>
      <c r="BG44" s="288">
        <f>(BG41*BG43)/100</f>
        <v>0</v>
      </c>
      <c r="BH44" s="9"/>
      <c r="BI44" s="10"/>
      <c r="BJ44" s="288">
        <f>(BJ41*BJ43)/100</f>
        <v>0</v>
      </c>
      <c r="BK44" s="9"/>
      <c r="BL44" s="10"/>
      <c r="BM44" s="288">
        <f>(BM41*BM43)/100</f>
        <v>0</v>
      </c>
      <c r="BN44" s="9"/>
      <c r="BO44" s="10"/>
      <c r="BP44" s="288">
        <f>(BP41*BP43)/100</f>
        <v>0</v>
      </c>
      <c r="BQ44" s="9"/>
      <c r="BR44" s="10"/>
      <c r="BS44" s="288">
        <f>(BS41*BS43)/100</f>
        <v>0</v>
      </c>
      <c r="BT44" s="9"/>
      <c r="BU44" s="10"/>
      <c r="BV44" s="288">
        <f>(BV41*BV43)/100</f>
        <v>0</v>
      </c>
      <c r="BW44" s="9"/>
      <c r="BX44" s="10"/>
      <c r="BY44" s="288">
        <f>(BY41*BY43)/100</f>
        <v>0</v>
      </c>
      <c r="BZ44" s="9"/>
      <c r="CA44" s="10"/>
      <c r="CB44" s="288">
        <f>(CB41*CB43)/100</f>
        <v>0</v>
      </c>
      <c r="CC44" s="9"/>
      <c r="CD44" s="10"/>
      <c r="CE44" s="288">
        <f>(CE41*CE43)/100</f>
        <v>0</v>
      </c>
      <c r="CF44" s="9"/>
      <c r="CG44" s="10"/>
      <c r="CH44" s="288">
        <f>(CH41*CH43)/100</f>
        <v>0</v>
      </c>
      <c r="CI44" s="9"/>
      <c r="CJ44" s="10"/>
      <c r="CK44" s="288">
        <f>(CK41*CK43)/100</f>
        <v>0</v>
      </c>
      <c r="CL44" s="9"/>
      <c r="CM44" s="10"/>
      <c r="CN44" s="288">
        <f>(CN41*CN43)/100</f>
        <v>0</v>
      </c>
      <c r="CO44" s="9"/>
      <c r="CP44" s="10"/>
      <c r="CQ44" s="220"/>
      <c r="CR44" s="249">
        <v>2500.0</v>
      </c>
      <c r="CS44" s="12"/>
      <c r="CT44" s="13"/>
      <c r="CU44" s="250" t="s">
        <v>43</v>
      </c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3"/>
      <c r="DH44" s="251">
        <f t="shared" si="11"/>
        <v>0</v>
      </c>
      <c r="DI44" s="12"/>
      <c r="DJ44" s="13"/>
      <c r="DK44" s="252">
        <v>1.0</v>
      </c>
      <c r="DL44" s="12"/>
      <c r="DM44" s="13"/>
      <c r="DN44" s="253">
        <f t="shared" si="12"/>
        <v>0</v>
      </c>
      <c r="DO44" s="12"/>
      <c r="DP44" s="13"/>
      <c r="DQ44" s="251">
        <f t="shared" si="13"/>
        <v>0</v>
      </c>
      <c r="DR44" s="12"/>
      <c r="DS44" s="13"/>
      <c r="DT44" s="254">
        <f t="shared" si="14"/>
        <v>0</v>
      </c>
      <c r="DU44" s="12"/>
      <c r="DV44" s="13"/>
      <c r="DW44" s="255">
        <f>(DK44-DH44)/'График'!AK12</f>
        <v>0.04347826087</v>
      </c>
      <c r="DX44" s="12"/>
      <c r="DY44" s="13"/>
      <c r="EA44" s="256" t="s">
        <v>44</v>
      </c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6"/>
      <c r="EO44" s="257">
        <f>DH43*100/DH41</f>
        <v>3.333333333</v>
      </c>
      <c r="EP44" s="16"/>
      <c r="EQ44" s="257">
        <f>((DH43*100/DH41)+EO25)/2</f>
        <v>2.704011065</v>
      </c>
      <c r="ER44" s="16"/>
      <c r="ET44" s="258" t="s">
        <v>45</v>
      </c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9"/>
      <c r="FJ44" s="259">
        <f>AT44</f>
        <v>2500</v>
      </c>
      <c r="FK44" s="18"/>
      <c r="FL44" s="19"/>
      <c r="FN44" s="280" t="s">
        <v>46</v>
      </c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2"/>
      <c r="FZ44" s="281">
        <v>200.0</v>
      </c>
      <c r="GA44" s="22"/>
      <c r="GB44" s="282"/>
      <c r="GC44" s="283"/>
      <c r="GD44" s="282"/>
      <c r="GE44" s="283"/>
      <c r="GF44" s="283"/>
      <c r="GG44" s="283"/>
      <c r="GH44" s="283"/>
      <c r="GI44" s="282"/>
      <c r="GJ44" s="283"/>
      <c r="GK44" s="283"/>
      <c r="GL44" s="283"/>
      <c r="GM44" s="283"/>
      <c r="GN44" s="283"/>
      <c r="GO44" s="283"/>
      <c r="GP44" s="283"/>
      <c r="GQ44" s="283"/>
      <c r="GR44" s="283"/>
      <c r="GS44" s="283"/>
      <c r="GT44" s="283"/>
      <c r="GU44" s="283"/>
      <c r="GV44" s="283"/>
      <c r="GW44" s="283"/>
      <c r="GX44" s="283"/>
      <c r="GY44" s="283"/>
      <c r="GZ44" s="283"/>
      <c r="HA44" s="283"/>
      <c r="HB44" s="283"/>
      <c r="HC44" s="283"/>
      <c r="HD44" s="283"/>
      <c r="HE44" s="283"/>
      <c r="HF44" s="289"/>
      <c r="HG44" s="290">
        <f t="shared" si="15"/>
        <v>0</v>
      </c>
      <c r="HH44" s="291"/>
      <c r="HI44" s="292"/>
      <c r="HJ44" s="35"/>
    </row>
    <row r="45" ht="15.0" customHeight="1">
      <c r="A45" s="54"/>
      <c r="B45" s="245"/>
      <c r="D45" s="293" t="s">
        <v>32</v>
      </c>
      <c r="E45" s="5"/>
      <c r="F45" s="5"/>
      <c r="G45" s="5"/>
      <c r="H45" s="5"/>
      <c r="I45" s="5"/>
      <c r="J45" s="5"/>
      <c r="K45" s="5"/>
      <c r="L45" s="5"/>
      <c r="M45" s="6"/>
      <c r="N45" s="276"/>
      <c r="O45" s="276">
        <v>0.0</v>
      </c>
      <c r="P45" s="276"/>
      <c r="Q45" s="276"/>
      <c r="R45" s="276"/>
      <c r="S45" s="276"/>
      <c r="T45" s="276">
        <v>0.0</v>
      </c>
      <c r="U45" s="276">
        <v>0.0</v>
      </c>
      <c r="V45" s="276">
        <v>0.0</v>
      </c>
      <c r="W45" s="276">
        <v>0.0</v>
      </c>
      <c r="X45" s="276">
        <v>1.0</v>
      </c>
      <c r="Y45" s="276">
        <v>0.0</v>
      </c>
      <c r="Z45" s="276">
        <v>1.0</v>
      </c>
      <c r="AA45" s="276">
        <v>1.0</v>
      </c>
      <c r="AB45" s="276">
        <v>1.0</v>
      </c>
      <c r="AC45" s="276">
        <v>0.0</v>
      </c>
      <c r="AD45" s="276"/>
      <c r="AE45" s="276">
        <v>1.0</v>
      </c>
      <c r="AF45" s="276">
        <v>0.0</v>
      </c>
      <c r="AG45" s="276"/>
      <c r="AH45" s="276"/>
      <c r="AI45" s="276"/>
      <c r="AJ45" s="276"/>
      <c r="AK45" s="276">
        <v>0.0</v>
      </c>
      <c r="AL45" s="276">
        <v>0.0</v>
      </c>
      <c r="AM45" s="276">
        <v>0.0</v>
      </c>
      <c r="AN45" s="276">
        <v>1.0</v>
      </c>
      <c r="AO45" s="276"/>
      <c r="AP45" s="276"/>
      <c r="AQ45" s="276">
        <v>0.0</v>
      </c>
      <c r="AR45" s="276"/>
      <c r="AT45" s="277" t="s">
        <v>47</v>
      </c>
      <c r="AU45" s="9"/>
      <c r="AV45" s="10"/>
      <c r="AW45" s="278" t="s">
        <v>37</v>
      </c>
      <c r="AX45" s="279"/>
      <c r="AY45" s="9"/>
      <c r="AZ45" s="10"/>
      <c r="BA45" s="279">
        <v>5.0</v>
      </c>
      <c r="BB45" s="9"/>
      <c r="BC45" s="10"/>
      <c r="BD45" s="279">
        <v>5.0</v>
      </c>
      <c r="BE45" s="9"/>
      <c r="BF45" s="10"/>
      <c r="BG45" s="279">
        <v>5.0</v>
      </c>
      <c r="BH45" s="9"/>
      <c r="BI45" s="10"/>
      <c r="BJ45" s="279">
        <v>5.0</v>
      </c>
      <c r="BK45" s="9"/>
      <c r="BL45" s="10"/>
      <c r="BM45" s="279">
        <v>5.0</v>
      </c>
      <c r="BN45" s="9"/>
      <c r="BO45" s="10"/>
      <c r="BP45" s="279">
        <v>5.0</v>
      </c>
      <c r="BQ45" s="9"/>
      <c r="BR45" s="10"/>
      <c r="BS45" s="279">
        <v>5.0</v>
      </c>
      <c r="BT45" s="9"/>
      <c r="BU45" s="10"/>
      <c r="BV45" s="279">
        <v>5.0</v>
      </c>
      <c r="BW45" s="9"/>
      <c r="BX45" s="10"/>
      <c r="BY45" s="279">
        <v>5.0</v>
      </c>
      <c r="BZ45" s="9"/>
      <c r="CA45" s="10"/>
      <c r="CB45" s="279">
        <v>5.0</v>
      </c>
      <c r="CC45" s="9"/>
      <c r="CD45" s="10"/>
      <c r="CE45" s="279">
        <v>5.0</v>
      </c>
      <c r="CF45" s="9"/>
      <c r="CG45" s="10"/>
      <c r="CH45" s="279">
        <v>5.0</v>
      </c>
      <c r="CI45" s="9"/>
      <c r="CJ45" s="10"/>
      <c r="CK45" s="279">
        <v>5.0</v>
      </c>
      <c r="CL45" s="9"/>
      <c r="CM45" s="10"/>
      <c r="CN45" s="279">
        <v>5.0</v>
      </c>
      <c r="CO45" s="9"/>
      <c r="CP45" s="10"/>
      <c r="CQ45" s="220"/>
      <c r="CR45" s="249"/>
      <c r="CS45" s="12"/>
      <c r="CT45" s="13"/>
      <c r="CU45" s="268" t="s">
        <v>48</v>
      </c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3"/>
      <c r="DH45" s="251">
        <f t="shared" si="11"/>
        <v>0</v>
      </c>
      <c r="DI45" s="12"/>
      <c r="DJ45" s="13"/>
      <c r="DK45" s="252">
        <v>0.0</v>
      </c>
      <c r="DL45" s="12"/>
      <c r="DM45" s="13"/>
      <c r="DN45" s="253">
        <f t="shared" si="12"/>
        <v>0</v>
      </c>
      <c r="DO45" s="12"/>
      <c r="DP45" s="13"/>
      <c r="DQ45" s="251">
        <v>0.0</v>
      </c>
      <c r="DR45" s="12"/>
      <c r="DS45" s="13"/>
      <c r="DT45" s="254">
        <v>0.0</v>
      </c>
      <c r="DU45" s="12"/>
      <c r="DV45" s="13"/>
      <c r="DW45" s="255">
        <f>(DK45-DH45)/'График'!AK12</f>
        <v>0</v>
      </c>
      <c r="DX45" s="12"/>
      <c r="DY45" s="13"/>
      <c r="EA45" s="269" t="s">
        <v>49</v>
      </c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6"/>
      <c r="EO45" s="257">
        <f>DH44*100/DH41</f>
        <v>0</v>
      </c>
      <c r="EP45" s="16"/>
      <c r="EQ45" s="257">
        <f>((DH44*100/DH41)+EO26)/2</f>
        <v>0.4149377593</v>
      </c>
      <c r="ER45" s="16"/>
      <c r="ET45" s="258" t="s">
        <v>50</v>
      </c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9"/>
      <c r="FJ45" s="259">
        <f>AT46</f>
        <v>0</v>
      </c>
      <c r="FK45" s="18"/>
      <c r="FL45" s="19"/>
      <c r="FN45" s="280" t="s">
        <v>51</v>
      </c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2"/>
      <c r="FZ45" s="281">
        <v>500.0</v>
      </c>
      <c r="GA45" s="22"/>
      <c r="GB45" s="282"/>
      <c r="GC45" s="283"/>
      <c r="GD45" s="283"/>
      <c r="GE45" s="283"/>
      <c r="GF45" s="283"/>
      <c r="GG45" s="283"/>
      <c r="GH45" s="283"/>
      <c r="GI45" s="282"/>
      <c r="GJ45" s="283"/>
      <c r="GK45" s="283"/>
      <c r="GL45" s="283"/>
      <c r="GM45" s="283"/>
      <c r="GN45" s="283"/>
      <c r="GO45" s="283"/>
      <c r="GP45" s="283"/>
      <c r="GQ45" s="283"/>
      <c r="GR45" s="283"/>
      <c r="GS45" s="283"/>
      <c r="GT45" s="283"/>
      <c r="GU45" s="283"/>
      <c r="GV45" s="283"/>
      <c r="GW45" s="283"/>
      <c r="GX45" s="283"/>
      <c r="GY45" s="283"/>
      <c r="GZ45" s="283"/>
      <c r="HA45" s="283"/>
      <c r="HB45" s="283"/>
      <c r="HC45" s="283"/>
      <c r="HD45" s="283"/>
      <c r="HE45" s="283"/>
      <c r="HF45" s="284"/>
      <c r="HG45" s="290">
        <f t="shared" si="15"/>
        <v>0</v>
      </c>
      <c r="HH45" s="291"/>
      <c r="HI45" s="292"/>
      <c r="HJ45" s="35"/>
    </row>
    <row r="46" ht="15.0" customHeight="1">
      <c r="A46" s="54"/>
      <c r="B46" s="245"/>
      <c r="D46" s="293" t="s">
        <v>38</v>
      </c>
      <c r="E46" s="5"/>
      <c r="F46" s="5"/>
      <c r="G46" s="5"/>
      <c r="H46" s="5"/>
      <c r="I46" s="5"/>
      <c r="J46" s="5"/>
      <c r="K46" s="5"/>
      <c r="L46" s="5"/>
      <c r="M46" s="6"/>
      <c r="N46" s="276"/>
      <c r="O46" s="276">
        <v>0.0</v>
      </c>
      <c r="P46" s="276"/>
      <c r="Q46" s="276"/>
      <c r="R46" s="276"/>
      <c r="S46" s="276"/>
      <c r="T46" s="276">
        <v>0.0</v>
      </c>
      <c r="U46" s="276">
        <v>0.0</v>
      </c>
      <c r="V46" s="276">
        <v>0.0</v>
      </c>
      <c r="W46" s="276">
        <v>0.0</v>
      </c>
      <c r="X46" s="276">
        <v>1.0</v>
      </c>
      <c r="Y46" s="276">
        <v>0.0</v>
      </c>
      <c r="Z46" s="276">
        <v>0.0</v>
      </c>
      <c r="AA46" s="276">
        <v>1.0</v>
      </c>
      <c r="AB46" s="276">
        <v>1.0</v>
      </c>
      <c r="AC46" s="276">
        <v>0.0</v>
      </c>
      <c r="AD46" s="276"/>
      <c r="AE46" s="276">
        <v>1.0</v>
      </c>
      <c r="AF46" s="276">
        <v>0.0</v>
      </c>
      <c r="AG46" s="276"/>
      <c r="AH46" s="276"/>
      <c r="AI46" s="276"/>
      <c r="AJ46" s="276"/>
      <c r="AK46" s="276">
        <v>1.0</v>
      </c>
      <c r="AL46" s="276">
        <v>0.0</v>
      </c>
      <c r="AM46" s="276">
        <v>0.0</v>
      </c>
      <c r="AN46" s="276">
        <v>0.0</v>
      </c>
      <c r="AO46" s="276"/>
      <c r="AP46" s="276"/>
      <c r="AQ46" s="276">
        <v>0.0</v>
      </c>
      <c r="AR46" s="276"/>
      <c r="AT46" s="287">
        <f>SUM(AX46:CO46)</f>
        <v>0</v>
      </c>
      <c r="AU46" s="9"/>
      <c r="AV46" s="9"/>
      <c r="AW46" s="10"/>
      <c r="AX46" s="294">
        <f>(AX41*AX45)/100</f>
        <v>0</v>
      </c>
      <c r="AY46" s="9"/>
      <c r="AZ46" s="10"/>
      <c r="BA46" s="294">
        <f>(BA41*BA45)/100</f>
        <v>0</v>
      </c>
      <c r="BB46" s="9"/>
      <c r="BC46" s="10"/>
      <c r="BD46" s="294">
        <f>(BD41*BD45)/100</f>
        <v>0</v>
      </c>
      <c r="BE46" s="9"/>
      <c r="BF46" s="10"/>
      <c r="BG46" s="294">
        <f>(BG41*BG45)/100</f>
        <v>0</v>
      </c>
      <c r="BH46" s="9"/>
      <c r="BI46" s="10"/>
      <c r="BJ46" s="294">
        <f>(BJ41*BJ45)/100</f>
        <v>0</v>
      </c>
      <c r="BK46" s="9"/>
      <c r="BL46" s="10"/>
      <c r="BM46" s="294">
        <f>(BM41*BM45)/100</f>
        <v>0</v>
      </c>
      <c r="BN46" s="9"/>
      <c r="BO46" s="10"/>
      <c r="BP46" s="294">
        <f>(BP41*BP45)/100</f>
        <v>0</v>
      </c>
      <c r="BQ46" s="9"/>
      <c r="BR46" s="10"/>
      <c r="BS46" s="294">
        <f>(BS41*BS45)/100</f>
        <v>0</v>
      </c>
      <c r="BT46" s="9"/>
      <c r="BU46" s="10"/>
      <c r="BV46" s="294">
        <f>(BV41*BV45)/100</f>
        <v>0</v>
      </c>
      <c r="BW46" s="9"/>
      <c r="BX46" s="10"/>
      <c r="BY46" s="294">
        <f>(BY41*BY45)/100</f>
        <v>0</v>
      </c>
      <c r="BZ46" s="9"/>
      <c r="CA46" s="10"/>
      <c r="CB46" s="294">
        <f>(CB41*CB45)/100</f>
        <v>0</v>
      </c>
      <c r="CC46" s="9"/>
      <c r="CD46" s="10"/>
      <c r="CE46" s="294">
        <f>(CE41*CE45)/100</f>
        <v>0</v>
      </c>
      <c r="CF46" s="9"/>
      <c r="CG46" s="10"/>
      <c r="CH46" s="294">
        <f>(CH41*CH45)/100</f>
        <v>0</v>
      </c>
      <c r="CI46" s="9"/>
      <c r="CJ46" s="10"/>
      <c r="CK46" s="294">
        <f>(CK41*CK45)/100</f>
        <v>0</v>
      </c>
      <c r="CL46" s="9"/>
      <c r="CM46" s="10"/>
      <c r="CN46" s="294">
        <f>(CN41*CN45)/100</f>
        <v>0</v>
      </c>
      <c r="CO46" s="9"/>
      <c r="CP46" s="10"/>
      <c r="CQ46" s="220"/>
      <c r="CR46" s="249">
        <v>2500.0</v>
      </c>
      <c r="CS46" s="12"/>
      <c r="CT46" s="13"/>
      <c r="CU46" s="268" t="s">
        <v>95</v>
      </c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3"/>
      <c r="DH46" s="253">
        <f>SUM(O49:AR49)</f>
        <v>0</v>
      </c>
      <c r="DI46" s="12"/>
      <c r="DJ46" s="13"/>
      <c r="DK46" s="295">
        <v>25000.0</v>
      </c>
      <c r="DL46" s="12"/>
      <c r="DM46" s="13"/>
      <c r="DN46" s="253">
        <f t="shared" si="12"/>
        <v>0</v>
      </c>
      <c r="DO46" s="12"/>
      <c r="DP46" s="13"/>
      <c r="DQ46" s="296">
        <f t="shared" ref="DQ46:DQ52" si="16">IF(DH46&lt;DK46,DH46,IF(DH46&gt;=DK46,DK46))</f>
        <v>0</v>
      </c>
      <c r="DR46" s="12"/>
      <c r="DS46" s="13"/>
      <c r="DT46" s="254">
        <f>DQ46*100/DK46</f>
        <v>0</v>
      </c>
      <c r="DU46" s="12"/>
      <c r="DV46" s="13"/>
      <c r="DW46" s="255">
        <f>(DK46-DH46)/'График'!AK12</f>
        <v>1086.956522</v>
      </c>
      <c r="DX46" s="12"/>
      <c r="DY46" s="13"/>
      <c r="EA46" s="256" t="s">
        <v>96</v>
      </c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6"/>
      <c r="EO46" s="257">
        <f>DH43*100/DH42</f>
        <v>83.33333333</v>
      </c>
      <c r="EP46" s="16"/>
      <c r="EQ46" s="257">
        <f>((DH43*100/DH42)+EO27)/2</f>
        <v>91.66666667</v>
      </c>
      <c r="ER46" s="16"/>
      <c r="ET46" s="258" t="s">
        <v>97</v>
      </c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9"/>
      <c r="FJ46" s="259">
        <f>if(FJ42&gt;79,DH46*15%,if(FJ42&lt;80,DH46*5%))</f>
        <v>0</v>
      </c>
      <c r="FK46" s="18"/>
      <c r="FL46" s="19"/>
      <c r="FN46" s="280" t="s">
        <v>55</v>
      </c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2"/>
      <c r="FZ46" s="281">
        <v>800.0</v>
      </c>
      <c r="GA46" s="22"/>
      <c r="GB46" s="282"/>
      <c r="GC46" s="282"/>
      <c r="GD46" s="283"/>
      <c r="GE46" s="282"/>
      <c r="GF46" s="282"/>
      <c r="GG46" s="282"/>
      <c r="GH46" s="282"/>
      <c r="GI46" s="282"/>
      <c r="GJ46" s="282"/>
      <c r="GK46" s="283"/>
      <c r="GL46" s="283"/>
      <c r="GM46" s="282"/>
      <c r="GN46" s="283"/>
      <c r="GO46" s="283"/>
      <c r="GP46" s="283"/>
      <c r="GQ46" s="283"/>
      <c r="GR46" s="283"/>
      <c r="GS46" s="283"/>
      <c r="GT46" s="283"/>
      <c r="GU46" s="283"/>
      <c r="GV46" s="283"/>
      <c r="GW46" s="283"/>
      <c r="GX46" s="283"/>
      <c r="GY46" s="283"/>
      <c r="GZ46" s="283"/>
      <c r="HA46" s="283"/>
      <c r="HB46" s="283"/>
      <c r="HC46" s="283"/>
      <c r="HD46" s="283"/>
      <c r="HE46" s="283"/>
      <c r="HF46" s="284"/>
      <c r="HG46" s="290">
        <f t="shared" si="15"/>
        <v>0</v>
      </c>
      <c r="HH46" s="291"/>
      <c r="HI46" s="292"/>
      <c r="HJ46" s="35"/>
    </row>
    <row r="47" ht="15.0" customHeight="1">
      <c r="A47" s="54"/>
      <c r="B47" s="245"/>
      <c r="D47" s="275" t="s">
        <v>43</v>
      </c>
      <c r="E47" s="5"/>
      <c r="F47" s="5"/>
      <c r="G47" s="5"/>
      <c r="H47" s="5"/>
      <c r="I47" s="5"/>
      <c r="J47" s="5"/>
      <c r="K47" s="5"/>
      <c r="L47" s="5"/>
      <c r="M47" s="6"/>
      <c r="N47" s="276"/>
      <c r="O47" s="276">
        <v>0.0</v>
      </c>
      <c r="P47" s="276"/>
      <c r="Q47" s="276"/>
      <c r="R47" s="276"/>
      <c r="S47" s="276"/>
      <c r="T47" s="276">
        <v>0.0</v>
      </c>
      <c r="U47" s="276">
        <v>0.0</v>
      </c>
      <c r="V47" s="276">
        <v>0.0</v>
      </c>
      <c r="W47" s="276">
        <v>0.0</v>
      </c>
      <c r="X47" s="276">
        <v>0.0</v>
      </c>
      <c r="Y47" s="276">
        <v>0.0</v>
      </c>
      <c r="Z47" s="276">
        <v>0.0</v>
      </c>
      <c r="AA47" s="276">
        <v>0.0</v>
      </c>
      <c r="AB47" s="276">
        <v>0.0</v>
      </c>
      <c r="AC47" s="276">
        <v>0.0</v>
      </c>
      <c r="AD47" s="276"/>
      <c r="AE47" s="276">
        <v>0.0</v>
      </c>
      <c r="AF47" s="276">
        <v>0.0</v>
      </c>
      <c r="AG47" s="276"/>
      <c r="AH47" s="276"/>
      <c r="AI47" s="276"/>
      <c r="AJ47" s="276"/>
      <c r="AK47" s="276">
        <v>0.0</v>
      </c>
      <c r="AL47" s="276">
        <v>0.0</v>
      </c>
      <c r="AM47" s="276">
        <v>0.0</v>
      </c>
      <c r="AN47" s="276">
        <v>0.0</v>
      </c>
      <c r="AO47" s="276"/>
      <c r="AP47" s="276"/>
      <c r="AQ47" s="276">
        <v>0.0</v>
      </c>
      <c r="AR47" s="276"/>
      <c r="AT47" s="297"/>
      <c r="AU47" s="297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297"/>
      <c r="BG47" s="297"/>
      <c r="BH47" s="297"/>
      <c r="BI47" s="297"/>
      <c r="BJ47" s="297"/>
      <c r="BK47" s="297"/>
      <c r="BL47" s="297"/>
      <c r="BM47" s="297"/>
      <c r="BN47" s="297"/>
      <c r="BO47" s="297"/>
      <c r="BP47" s="297"/>
      <c r="BQ47" s="297"/>
      <c r="BR47" s="297"/>
      <c r="BS47" s="297"/>
      <c r="BT47" s="297"/>
      <c r="BU47" s="297"/>
      <c r="BV47" s="297"/>
      <c r="BW47" s="297"/>
      <c r="BX47" s="297"/>
      <c r="BY47" s="297"/>
      <c r="BZ47" s="297"/>
      <c r="CA47" s="297"/>
      <c r="CB47" s="297"/>
      <c r="CC47" s="297"/>
      <c r="CD47" s="297"/>
      <c r="CE47" s="297"/>
      <c r="CF47" s="297"/>
      <c r="CG47" s="297"/>
      <c r="CH47" s="297"/>
      <c r="CI47" s="297"/>
      <c r="CJ47" s="297"/>
      <c r="CK47" s="297"/>
      <c r="CL47" s="297"/>
      <c r="CM47" s="297"/>
      <c r="CN47" s="297"/>
      <c r="CO47" s="297"/>
      <c r="CP47" s="297"/>
      <c r="CQ47" s="220"/>
      <c r="CR47" s="249">
        <v>10000.0</v>
      </c>
      <c r="CS47" s="12"/>
      <c r="CT47" s="13"/>
      <c r="CU47" s="298" t="s">
        <v>98</v>
      </c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23"/>
      <c r="DH47" s="299">
        <f>sum(DH46+'Александр'!BI46)</f>
        <v>0</v>
      </c>
      <c r="DI47" s="24"/>
      <c r="DJ47" s="223"/>
      <c r="DK47" s="300">
        <v>70000.0</v>
      </c>
      <c r="DL47" s="12"/>
      <c r="DM47" s="13"/>
      <c r="DN47" s="253">
        <f t="shared" si="12"/>
        <v>0</v>
      </c>
      <c r="DO47" s="12"/>
      <c r="DP47" s="13"/>
      <c r="DQ47" s="296">
        <f t="shared" si="16"/>
        <v>0</v>
      </c>
      <c r="DR47" s="12"/>
      <c r="DS47" s="13"/>
      <c r="DT47" s="301">
        <f t="shared" ref="DT47:DT52" si="17">DH47*100/DK47</f>
        <v>0</v>
      </c>
      <c r="DU47" s="12"/>
      <c r="DV47" s="13"/>
      <c r="DW47" s="302">
        <f>(DK47-DH47)/'График'!AK12</f>
        <v>3043.478261</v>
      </c>
      <c r="DX47" s="12"/>
      <c r="DY47" s="13"/>
      <c r="DZ47" s="59"/>
      <c r="EA47" s="256" t="s">
        <v>58</v>
      </c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6"/>
      <c r="EO47" s="257">
        <f>DH44*100/DH42</f>
        <v>0</v>
      </c>
      <c r="EP47" s="16"/>
      <c r="EQ47" s="257">
        <f>((DH44*100/DH42)+EO28)/2</f>
        <v>20</v>
      </c>
      <c r="ER47" s="16"/>
      <c r="ES47" s="59"/>
      <c r="ET47" s="258" t="s">
        <v>99</v>
      </c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9"/>
      <c r="FJ47" s="259">
        <f>if(FJ42&gt;79,DH46*15%,if(FJ42&lt;80,DH46*5%))+FJ41+FJ43+FJ44+FJ45</f>
        <v>18500</v>
      </c>
      <c r="FK47" s="18"/>
      <c r="FL47" s="19"/>
      <c r="FN47" s="280" t="s">
        <v>60</v>
      </c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2"/>
      <c r="FZ47" s="281">
        <v>1500.0</v>
      </c>
      <c r="GA47" s="22"/>
      <c r="GB47" s="283"/>
      <c r="GC47" s="283"/>
      <c r="GD47" s="283"/>
      <c r="GE47" s="283"/>
      <c r="GF47" s="283"/>
      <c r="GG47" s="283"/>
      <c r="GH47" s="283"/>
      <c r="GI47" s="282"/>
      <c r="GJ47" s="282"/>
      <c r="GK47" s="283"/>
      <c r="GL47" s="282"/>
      <c r="GM47" s="282"/>
      <c r="GN47" s="282"/>
      <c r="GO47" s="283"/>
      <c r="GP47" s="283"/>
      <c r="GQ47" s="283"/>
      <c r="GR47" s="283"/>
      <c r="GS47" s="283"/>
      <c r="GT47" s="283"/>
      <c r="GU47" s="283"/>
      <c r="GV47" s="283"/>
      <c r="GW47" s="283"/>
      <c r="GX47" s="283"/>
      <c r="GY47" s="283"/>
      <c r="GZ47" s="283"/>
      <c r="HA47" s="282"/>
      <c r="HB47" s="283"/>
      <c r="HC47" s="283"/>
      <c r="HD47" s="283"/>
      <c r="HE47" s="283"/>
      <c r="HF47" s="284"/>
      <c r="HG47" s="290">
        <f t="shared" si="15"/>
        <v>0</v>
      </c>
      <c r="HH47" s="291"/>
      <c r="HI47" s="292"/>
      <c r="HJ47" s="35"/>
    </row>
    <row r="48" ht="15.0" customHeight="1">
      <c r="A48" s="54"/>
      <c r="B48" s="245"/>
      <c r="D48" s="293" t="s">
        <v>48</v>
      </c>
      <c r="E48" s="5"/>
      <c r="F48" s="5"/>
      <c r="G48" s="5"/>
      <c r="H48" s="5"/>
      <c r="I48" s="5"/>
      <c r="J48" s="5"/>
      <c r="K48" s="5"/>
      <c r="L48" s="5"/>
      <c r="M48" s="6"/>
      <c r="N48" s="276"/>
      <c r="O48" s="276">
        <v>0.0</v>
      </c>
      <c r="P48" s="276"/>
      <c r="Q48" s="276"/>
      <c r="R48" s="276"/>
      <c r="S48" s="276"/>
      <c r="T48" s="276">
        <v>0.0</v>
      </c>
      <c r="U48" s="276">
        <v>0.0</v>
      </c>
      <c r="V48" s="276">
        <v>0.0</v>
      </c>
      <c r="W48" s="276">
        <v>0.0</v>
      </c>
      <c r="X48" s="276">
        <v>0.0</v>
      </c>
      <c r="Y48" s="276">
        <v>0.0</v>
      </c>
      <c r="Z48" s="276">
        <v>0.0</v>
      </c>
      <c r="AA48" s="276">
        <v>0.0</v>
      </c>
      <c r="AB48" s="276">
        <v>0.0</v>
      </c>
      <c r="AC48" s="276">
        <v>0.0</v>
      </c>
      <c r="AD48" s="276"/>
      <c r="AE48" s="276">
        <v>0.0</v>
      </c>
      <c r="AF48" s="276">
        <v>0.0</v>
      </c>
      <c r="AG48" s="276"/>
      <c r="AH48" s="276"/>
      <c r="AI48" s="276"/>
      <c r="AJ48" s="276"/>
      <c r="AK48" s="276">
        <v>0.0</v>
      </c>
      <c r="AL48" s="276">
        <v>0.0</v>
      </c>
      <c r="AM48" s="276">
        <v>0.0</v>
      </c>
      <c r="AN48" s="276">
        <v>0.0</v>
      </c>
      <c r="AO48" s="276"/>
      <c r="AP48" s="276"/>
      <c r="AQ48" s="276">
        <v>0.0</v>
      </c>
      <c r="AR48" s="276"/>
      <c r="AT48" s="303" t="s">
        <v>56</v>
      </c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10"/>
      <c r="CQ48" s="220"/>
      <c r="CR48" s="249"/>
      <c r="CS48" s="12"/>
      <c r="CT48" s="13"/>
      <c r="CU48" s="298" t="s">
        <v>100</v>
      </c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23"/>
      <c r="DH48" s="299">
        <f>sum(AX51:CP51)</f>
        <v>30000</v>
      </c>
      <c r="DI48" s="24"/>
      <c r="DJ48" s="223"/>
      <c r="DK48" s="300">
        <v>0.0</v>
      </c>
      <c r="DL48" s="12"/>
      <c r="DM48" s="13"/>
      <c r="DN48" s="253" t="str">
        <f t="shared" si="12"/>
        <v>#DIV/0!</v>
      </c>
      <c r="DO48" s="12"/>
      <c r="DP48" s="13"/>
      <c r="DQ48" s="296">
        <f t="shared" si="16"/>
        <v>0</v>
      </c>
      <c r="DR48" s="12"/>
      <c r="DS48" s="13"/>
      <c r="DT48" s="301" t="str">
        <f t="shared" si="17"/>
        <v>#DIV/0!</v>
      </c>
      <c r="DU48" s="12"/>
      <c r="DV48" s="13"/>
      <c r="DW48" s="255">
        <f>(DK48-DH48)/'График'!AK12</f>
        <v>-1304.347826</v>
      </c>
      <c r="DX48" s="12"/>
      <c r="DY48" s="13"/>
      <c r="DZ48" s="304"/>
      <c r="EA48" s="256" t="s">
        <v>71</v>
      </c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6"/>
      <c r="EO48" s="257">
        <f>DH44*100/DH43</f>
        <v>0</v>
      </c>
      <c r="EP48" s="16"/>
      <c r="EQ48" s="257">
        <f>((DH44*100/DH43)+EO29)/2</f>
        <v>20</v>
      </c>
      <c r="ER48" s="16"/>
      <c r="ES48" s="220"/>
      <c r="ET48" s="305" t="s">
        <v>24</v>
      </c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9"/>
      <c r="FJ48" s="306">
        <f>if(DH47&gt;=DK47,FJ47+CR47,if(DH47&lt;DK47,FJ47))-HG49</f>
        <v>18500</v>
      </c>
      <c r="FK48" s="18"/>
      <c r="FL48" s="19"/>
      <c r="FM48" s="59"/>
      <c r="FN48" s="307" t="s">
        <v>72</v>
      </c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2"/>
      <c r="FZ48" s="281">
        <v>1000.0</v>
      </c>
      <c r="GA48" s="22"/>
      <c r="GB48" s="308"/>
      <c r="GC48" s="309"/>
      <c r="GD48" s="308"/>
      <c r="GE48" s="308"/>
      <c r="GF48" s="308"/>
      <c r="GG48" s="308"/>
      <c r="GH48" s="309"/>
      <c r="GI48" s="308"/>
      <c r="GJ48" s="308"/>
      <c r="GK48" s="308"/>
      <c r="GL48" s="309"/>
      <c r="GM48" s="308"/>
      <c r="GN48" s="309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10"/>
      <c r="HF48" s="311"/>
      <c r="HG48" s="290">
        <f t="shared" si="15"/>
        <v>0</v>
      </c>
      <c r="HH48" s="291"/>
      <c r="HI48" s="292"/>
      <c r="HJ48" s="35"/>
    </row>
    <row r="49" ht="15.0" customHeight="1">
      <c r="A49" s="54"/>
      <c r="B49" s="245"/>
      <c r="D49" s="312" t="s">
        <v>52</v>
      </c>
      <c r="E49" s="27"/>
      <c r="F49" s="27"/>
      <c r="G49" s="27"/>
      <c r="H49" s="27"/>
      <c r="I49" s="27"/>
      <c r="J49" s="27"/>
      <c r="K49" s="27"/>
      <c r="L49" s="27"/>
      <c r="M49" s="28"/>
      <c r="N49" s="313"/>
      <c r="O49" s="313">
        <v>0.0</v>
      </c>
      <c r="P49" s="313"/>
      <c r="Q49" s="313"/>
      <c r="R49" s="313"/>
      <c r="S49" s="313"/>
      <c r="T49" s="313">
        <v>0.0</v>
      </c>
      <c r="U49" s="313">
        <v>0.0</v>
      </c>
      <c r="V49" s="313">
        <v>0.0</v>
      </c>
      <c r="W49" s="313">
        <v>0.0</v>
      </c>
      <c r="X49" s="313">
        <v>0.0</v>
      </c>
      <c r="Y49" s="313">
        <v>0.0</v>
      </c>
      <c r="Z49" s="313">
        <v>0.0</v>
      </c>
      <c r="AA49" s="313">
        <v>0.0</v>
      </c>
      <c r="AB49" s="313">
        <v>0.0</v>
      </c>
      <c r="AC49" s="313">
        <v>0.0</v>
      </c>
      <c r="AD49" s="313"/>
      <c r="AE49" s="313">
        <v>0.0</v>
      </c>
      <c r="AF49" s="313">
        <v>0.0</v>
      </c>
      <c r="AG49" s="313"/>
      <c r="AH49" s="313"/>
      <c r="AI49" s="313"/>
      <c r="AJ49" s="313"/>
      <c r="AK49" s="313">
        <v>0.0</v>
      </c>
      <c r="AL49" s="313">
        <v>0.0</v>
      </c>
      <c r="AM49" s="313">
        <v>0.0</v>
      </c>
      <c r="AN49" s="313">
        <v>0.0</v>
      </c>
      <c r="AO49" s="313"/>
      <c r="AP49" s="313"/>
      <c r="AQ49" s="313">
        <v>0.0</v>
      </c>
      <c r="AR49" s="313"/>
      <c r="AT49" s="227" t="s">
        <v>9</v>
      </c>
      <c r="AU49" s="228"/>
      <c r="AV49" s="228"/>
      <c r="AW49" s="229"/>
      <c r="AX49" s="314" t="s">
        <v>101</v>
      </c>
      <c r="AY49" s="228"/>
      <c r="AZ49" s="229"/>
      <c r="BA49" s="314" t="s">
        <v>102</v>
      </c>
      <c r="BB49" s="228"/>
      <c r="BC49" s="229"/>
      <c r="BD49" s="314" t="s">
        <v>103</v>
      </c>
      <c r="BE49" s="228"/>
      <c r="BF49" s="229"/>
      <c r="BG49" s="314" t="s">
        <v>104</v>
      </c>
      <c r="BH49" s="228"/>
      <c r="BI49" s="229"/>
      <c r="BJ49" s="314" t="s">
        <v>69</v>
      </c>
      <c r="BK49" s="228"/>
      <c r="BL49" s="229"/>
      <c r="BM49" s="314" t="s">
        <v>69</v>
      </c>
      <c r="BN49" s="228"/>
      <c r="BO49" s="229"/>
      <c r="BP49" s="314" t="s">
        <v>69</v>
      </c>
      <c r="BQ49" s="228"/>
      <c r="BR49" s="229"/>
      <c r="BS49" s="314" t="s">
        <v>69</v>
      </c>
      <c r="BT49" s="228"/>
      <c r="BU49" s="229"/>
      <c r="BV49" s="314" t="s">
        <v>69</v>
      </c>
      <c r="BW49" s="228"/>
      <c r="BX49" s="229"/>
      <c r="BY49" s="314" t="s">
        <v>69</v>
      </c>
      <c r="BZ49" s="228"/>
      <c r="CA49" s="229"/>
      <c r="CB49" s="314" t="s">
        <v>69</v>
      </c>
      <c r="CC49" s="228"/>
      <c r="CD49" s="229"/>
      <c r="CE49" s="314" t="s">
        <v>69</v>
      </c>
      <c r="CF49" s="228"/>
      <c r="CG49" s="229"/>
      <c r="CH49" s="314" t="s">
        <v>69</v>
      </c>
      <c r="CI49" s="228"/>
      <c r="CJ49" s="229"/>
      <c r="CK49" s="314" t="s">
        <v>69</v>
      </c>
      <c r="CL49" s="228"/>
      <c r="CM49" s="229"/>
      <c r="CN49" s="314" t="s">
        <v>69</v>
      </c>
      <c r="CO49" s="228"/>
      <c r="CP49" s="229"/>
      <c r="CQ49" s="220"/>
      <c r="CR49" s="249"/>
      <c r="CS49" s="12"/>
      <c r="CT49" s="13"/>
      <c r="CU49" s="298" t="s">
        <v>105</v>
      </c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23"/>
      <c r="DH49" s="299">
        <f>sum(DH46+DH48)</f>
        <v>30000</v>
      </c>
      <c r="DI49" s="24"/>
      <c r="DJ49" s="223"/>
      <c r="DK49" s="300">
        <v>0.0</v>
      </c>
      <c r="DL49" s="12"/>
      <c r="DM49" s="13"/>
      <c r="DN49" s="253" t="str">
        <f t="shared" si="12"/>
        <v>#DIV/0!</v>
      </c>
      <c r="DO49" s="12"/>
      <c r="DP49" s="13"/>
      <c r="DQ49" s="296">
        <f t="shared" si="16"/>
        <v>0</v>
      </c>
      <c r="DR49" s="12"/>
      <c r="DS49" s="13"/>
      <c r="DT49" s="301" t="str">
        <f t="shared" si="17"/>
        <v>#DIV/0!</v>
      </c>
      <c r="DU49" s="12"/>
      <c r="DV49" s="13"/>
      <c r="DW49" s="255">
        <f>(DK49-DH49)/'График'!AK12</f>
        <v>-1304.347826</v>
      </c>
      <c r="DX49" s="12"/>
      <c r="DY49" s="13"/>
      <c r="DZ49" s="315"/>
      <c r="EA49" s="316"/>
      <c r="EB49" s="316"/>
      <c r="EC49" s="316"/>
      <c r="ED49" s="316"/>
      <c r="EE49" s="316"/>
      <c r="EF49" s="316"/>
      <c r="EG49" s="316"/>
      <c r="EH49" s="316"/>
      <c r="EI49" s="316"/>
      <c r="EJ49" s="316"/>
      <c r="EK49" s="316"/>
      <c r="EL49" s="316"/>
      <c r="EM49" s="316"/>
      <c r="EN49" s="316"/>
      <c r="EO49" s="316"/>
      <c r="EP49" s="316"/>
      <c r="EQ49" s="316"/>
      <c r="ER49" s="316"/>
      <c r="ES49" s="317"/>
      <c r="ET49" s="318"/>
      <c r="EU49" s="318"/>
      <c r="EV49" s="318"/>
      <c r="EW49" s="318"/>
      <c r="EX49" s="318"/>
      <c r="EY49" s="318"/>
      <c r="EZ49" s="318"/>
      <c r="FA49" s="318"/>
      <c r="FB49" s="318"/>
      <c r="FC49" s="318"/>
      <c r="FD49" s="318"/>
      <c r="FE49" s="318"/>
      <c r="FF49" s="318"/>
      <c r="FG49" s="318"/>
      <c r="FH49" s="319"/>
      <c r="FI49" s="320"/>
      <c r="FJ49" s="321"/>
      <c r="FK49" s="322"/>
      <c r="FL49" s="320"/>
      <c r="FM49" s="317"/>
      <c r="FN49" s="316"/>
      <c r="FO49" s="316"/>
      <c r="FP49" s="316"/>
      <c r="FQ49" s="316"/>
      <c r="FR49" s="316"/>
      <c r="FS49" s="316"/>
      <c r="FT49" s="316"/>
      <c r="FU49" s="316"/>
      <c r="FV49" s="316"/>
      <c r="FW49" s="316"/>
      <c r="FX49" s="316"/>
      <c r="FY49" s="316"/>
      <c r="FZ49" s="316"/>
      <c r="GA49" s="316"/>
      <c r="GB49" s="316"/>
      <c r="GC49" s="316"/>
      <c r="GD49" s="316"/>
      <c r="GE49" s="316"/>
      <c r="GF49" s="316"/>
      <c r="GG49" s="316"/>
      <c r="GH49" s="316"/>
      <c r="GI49" s="316"/>
      <c r="GJ49" s="316"/>
      <c r="GK49" s="316"/>
      <c r="GL49" s="316"/>
      <c r="GM49" s="316"/>
      <c r="GN49" s="316"/>
      <c r="GO49" s="316"/>
      <c r="GP49" s="316"/>
      <c r="GQ49" s="316"/>
      <c r="GR49" s="316"/>
      <c r="GS49" s="316"/>
      <c r="GT49" s="316"/>
      <c r="GU49" s="316"/>
      <c r="GV49" s="316"/>
      <c r="GW49" s="316"/>
      <c r="GX49" s="316"/>
      <c r="GY49" s="316"/>
      <c r="GZ49" s="316"/>
      <c r="HA49" s="316"/>
      <c r="HB49" s="316"/>
      <c r="HC49" s="316"/>
      <c r="HD49" s="323"/>
      <c r="HE49" s="324" t="s">
        <v>24</v>
      </c>
      <c r="HF49" s="22"/>
      <c r="HG49" s="325">
        <f>sum(HG43:HG48)</f>
        <v>0</v>
      </c>
      <c r="HH49" s="326"/>
      <c r="HI49" s="327"/>
      <c r="HJ49" s="60"/>
    </row>
    <row r="50" ht="15.0" customHeight="1">
      <c r="A50" s="54"/>
      <c r="B50" s="245"/>
      <c r="D50" s="55"/>
      <c r="M50" s="33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T50" s="246"/>
      <c r="AU50" s="247"/>
      <c r="AV50" s="247"/>
      <c r="AW50" s="248"/>
      <c r="AX50" s="246"/>
      <c r="AY50" s="247"/>
      <c r="AZ50" s="248"/>
      <c r="BA50" s="246"/>
      <c r="BB50" s="247"/>
      <c r="BC50" s="248"/>
      <c r="BD50" s="246"/>
      <c r="BE50" s="247"/>
      <c r="BF50" s="248"/>
      <c r="BG50" s="246"/>
      <c r="BH50" s="247"/>
      <c r="BI50" s="248"/>
      <c r="BJ50" s="246"/>
      <c r="BK50" s="247"/>
      <c r="BL50" s="248"/>
      <c r="BM50" s="246"/>
      <c r="BN50" s="247"/>
      <c r="BO50" s="248"/>
      <c r="BP50" s="246"/>
      <c r="BQ50" s="247"/>
      <c r="BR50" s="248"/>
      <c r="BS50" s="246"/>
      <c r="BT50" s="247"/>
      <c r="BU50" s="248"/>
      <c r="BV50" s="246"/>
      <c r="BW50" s="247"/>
      <c r="BX50" s="248"/>
      <c r="BY50" s="246"/>
      <c r="BZ50" s="247"/>
      <c r="CA50" s="248"/>
      <c r="CB50" s="246"/>
      <c r="CC50" s="247"/>
      <c r="CD50" s="248"/>
      <c r="CE50" s="246"/>
      <c r="CF50" s="247"/>
      <c r="CG50" s="248"/>
      <c r="CH50" s="246"/>
      <c r="CI50" s="247"/>
      <c r="CJ50" s="248"/>
      <c r="CK50" s="246"/>
      <c r="CL50" s="247"/>
      <c r="CM50" s="248"/>
      <c r="CN50" s="246"/>
      <c r="CO50" s="247"/>
      <c r="CP50" s="248"/>
      <c r="CQ50" s="220"/>
      <c r="CR50" s="249"/>
      <c r="CS50" s="12"/>
      <c r="CT50" s="13"/>
      <c r="CU50" s="328" t="s">
        <v>73</v>
      </c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23"/>
      <c r="DH50" s="299" t="str">
        <f>DH46/DH44</f>
        <v>#DIV/0!</v>
      </c>
      <c r="DI50" s="24"/>
      <c r="DJ50" s="223"/>
      <c r="DK50" s="300">
        <v>25000.0</v>
      </c>
      <c r="DL50" s="12"/>
      <c r="DM50" s="13"/>
      <c r="DN50" s="253" t="str">
        <f t="shared" si="12"/>
        <v>#DIV/0!</v>
      </c>
      <c r="DO50" s="12"/>
      <c r="DP50" s="13"/>
      <c r="DQ50" s="296" t="str">
        <f t="shared" si="16"/>
        <v>#DIV/0!</v>
      </c>
      <c r="DR50" s="12"/>
      <c r="DS50" s="13"/>
      <c r="DT50" s="301" t="str">
        <f t="shared" si="17"/>
        <v>#DIV/0!</v>
      </c>
      <c r="DU50" s="12"/>
      <c r="DV50" s="13"/>
      <c r="DW50" s="255" t="str">
        <f>(DK50-DH50)/'График'!AK12</f>
        <v>#DIV/0!</v>
      </c>
      <c r="DX50" s="12"/>
      <c r="DY50" s="13"/>
      <c r="DZ50" s="315"/>
      <c r="EA50" s="317"/>
      <c r="EB50" s="317"/>
      <c r="EC50" s="317"/>
      <c r="ED50" s="317"/>
      <c r="EE50" s="317"/>
      <c r="EF50" s="317"/>
      <c r="EG50" s="317"/>
      <c r="EH50" s="317"/>
      <c r="EI50" s="317"/>
      <c r="EJ50" s="317"/>
      <c r="EK50" s="317"/>
      <c r="EL50" s="317"/>
      <c r="EM50" s="317"/>
      <c r="EN50" s="317"/>
      <c r="EO50" s="317"/>
      <c r="EP50" s="317"/>
      <c r="EQ50" s="317"/>
      <c r="ER50" s="317"/>
      <c r="ES50" s="317"/>
      <c r="ET50" s="317"/>
      <c r="EU50" s="317"/>
      <c r="EV50" s="317"/>
      <c r="EW50" s="317"/>
      <c r="EX50" s="317"/>
      <c r="EY50" s="317"/>
      <c r="EZ50" s="317"/>
      <c r="FA50" s="317"/>
      <c r="FB50" s="317"/>
      <c r="FC50" s="317"/>
      <c r="FD50" s="317"/>
      <c r="FE50" s="317"/>
      <c r="FF50" s="317"/>
      <c r="FG50" s="317"/>
      <c r="FH50" s="317"/>
      <c r="FI50" s="317"/>
      <c r="FJ50" s="317"/>
      <c r="FK50" s="317"/>
      <c r="FL50" s="317"/>
      <c r="FM50" s="317"/>
      <c r="FN50" s="317"/>
      <c r="FO50" s="317"/>
      <c r="FP50" s="317"/>
      <c r="FQ50" s="317"/>
      <c r="FR50" s="317"/>
      <c r="FS50" s="317"/>
      <c r="FT50" s="317"/>
      <c r="FU50" s="317"/>
      <c r="FV50" s="317"/>
      <c r="FW50" s="317"/>
      <c r="FX50" s="317"/>
      <c r="FY50" s="317"/>
      <c r="FZ50" s="317"/>
      <c r="GA50" s="317"/>
      <c r="GB50" s="317"/>
      <c r="GC50" s="317"/>
      <c r="GD50" s="317"/>
      <c r="GE50" s="317"/>
      <c r="GF50" s="317"/>
      <c r="GG50" s="317"/>
      <c r="GH50" s="317"/>
      <c r="GI50" s="317"/>
      <c r="GJ50" s="317"/>
      <c r="GK50" s="317"/>
      <c r="GL50" s="317"/>
      <c r="GM50" s="317"/>
      <c r="GN50" s="317"/>
      <c r="GO50" s="317"/>
      <c r="GP50" s="317"/>
      <c r="GQ50" s="317"/>
      <c r="GR50" s="317"/>
      <c r="GS50" s="317"/>
      <c r="GT50" s="317"/>
      <c r="GU50" s="317"/>
      <c r="GV50" s="317"/>
      <c r="GW50" s="317"/>
      <c r="GX50" s="317"/>
      <c r="GY50" s="317"/>
      <c r="GZ50" s="317"/>
      <c r="HA50" s="317"/>
      <c r="HB50" s="317"/>
      <c r="HC50" s="317"/>
      <c r="HD50" s="317"/>
      <c r="HE50" s="316"/>
      <c r="HF50" s="316"/>
      <c r="HG50" s="316"/>
      <c r="HH50" s="316"/>
      <c r="HI50" s="316"/>
      <c r="HJ50" s="317"/>
    </row>
    <row r="51" ht="15.0" customHeight="1">
      <c r="A51" s="54"/>
      <c r="B51" s="245"/>
      <c r="D51" s="55"/>
      <c r="M51" s="33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T51" s="263" t="s">
        <v>21</v>
      </c>
      <c r="AU51" s="9"/>
      <c r="AV51" s="9"/>
      <c r="AW51" s="10"/>
      <c r="AX51" s="329">
        <v>5000.0</v>
      </c>
      <c r="AY51" s="9"/>
      <c r="AZ51" s="10"/>
      <c r="BA51" s="329">
        <v>10000.0</v>
      </c>
      <c r="BB51" s="9"/>
      <c r="BC51" s="10"/>
      <c r="BD51" s="329">
        <v>5000.0</v>
      </c>
      <c r="BE51" s="9"/>
      <c r="BF51" s="10"/>
      <c r="BG51" s="329">
        <v>10000.0</v>
      </c>
      <c r="BH51" s="9"/>
      <c r="BI51" s="10"/>
      <c r="BJ51" s="329"/>
      <c r="BK51" s="9"/>
      <c r="BL51" s="10"/>
      <c r="BM51" s="329"/>
      <c r="BN51" s="9"/>
      <c r="BO51" s="10"/>
      <c r="BP51" s="329"/>
      <c r="BQ51" s="9"/>
      <c r="BR51" s="10"/>
      <c r="BS51" s="329"/>
      <c r="BT51" s="9"/>
      <c r="BU51" s="10"/>
      <c r="BV51" s="329"/>
      <c r="BW51" s="9"/>
      <c r="BX51" s="10"/>
      <c r="BY51" s="329"/>
      <c r="BZ51" s="9"/>
      <c r="CA51" s="10"/>
      <c r="CB51" s="329"/>
      <c r="CC51" s="9"/>
      <c r="CD51" s="10"/>
      <c r="CE51" s="329"/>
      <c r="CF51" s="9"/>
      <c r="CG51" s="10"/>
      <c r="CH51" s="329"/>
      <c r="CI51" s="9"/>
      <c r="CJ51" s="10"/>
      <c r="CK51" s="329"/>
      <c r="CL51" s="9"/>
      <c r="CM51" s="10"/>
      <c r="CN51" s="329"/>
      <c r="CO51" s="9"/>
      <c r="CP51" s="10"/>
      <c r="CQ51" s="220"/>
      <c r="CR51" s="249"/>
      <c r="CS51" s="12"/>
      <c r="CT51" s="13"/>
      <c r="CU51" s="268" t="s">
        <v>84</v>
      </c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3"/>
      <c r="DH51" s="255" t="str">
        <f>(DH44/DH45)</f>
        <v>#DIV/0!</v>
      </c>
      <c r="DI51" s="12"/>
      <c r="DJ51" s="13"/>
      <c r="DK51" s="330">
        <v>0.0</v>
      </c>
      <c r="DL51" s="12"/>
      <c r="DM51" s="13"/>
      <c r="DN51" s="253" t="str">
        <f t="shared" si="12"/>
        <v>#DIV/0!</v>
      </c>
      <c r="DO51" s="12"/>
      <c r="DP51" s="13"/>
      <c r="DQ51" s="296" t="str">
        <f t="shared" si="16"/>
        <v>#DIV/0!</v>
      </c>
      <c r="DR51" s="12"/>
      <c r="DS51" s="13"/>
      <c r="DT51" s="301" t="str">
        <f t="shared" si="17"/>
        <v>#DIV/0!</v>
      </c>
      <c r="DU51" s="12"/>
      <c r="DV51" s="13"/>
      <c r="DW51" s="255" t="str">
        <f>(DK51-DH51)/'График'!AK12</f>
        <v>#DIV/0!</v>
      </c>
      <c r="DX51" s="12"/>
      <c r="DY51" s="13"/>
      <c r="DZ51" s="315"/>
      <c r="EA51" s="317"/>
      <c r="EB51" s="317"/>
      <c r="EC51" s="317"/>
      <c r="ED51" s="317"/>
      <c r="EE51" s="317"/>
      <c r="EF51" s="317"/>
      <c r="EG51" s="317"/>
      <c r="EH51" s="317"/>
      <c r="EI51" s="317"/>
      <c r="EJ51" s="317"/>
      <c r="EK51" s="317"/>
      <c r="EL51" s="317"/>
      <c r="EM51" s="317"/>
      <c r="EN51" s="317"/>
      <c r="EO51" s="317"/>
      <c r="EP51" s="317"/>
      <c r="EQ51" s="317"/>
      <c r="ER51" s="317"/>
      <c r="ES51" s="317"/>
      <c r="ET51" s="317"/>
      <c r="EU51" s="317"/>
      <c r="EV51" s="317"/>
      <c r="EW51" s="317"/>
      <c r="EX51" s="317"/>
      <c r="EY51" s="317"/>
      <c r="EZ51" s="317"/>
      <c r="FA51" s="317"/>
      <c r="FB51" s="317"/>
      <c r="FC51" s="317"/>
      <c r="FD51" s="317"/>
      <c r="FE51" s="317"/>
      <c r="FF51" s="317"/>
      <c r="FG51" s="317"/>
      <c r="FH51" s="317"/>
      <c r="FI51" s="317"/>
      <c r="FJ51" s="317"/>
      <c r="FK51" s="317"/>
      <c r="FL51" s="317"/>
      <c r="FM51" s="317"/>
      <c r="FN51" s="317"/>
      <c r="FO51" s="317"/>
      <c r="FP51" s="317"/>
      <c r="FQ51" s="317"/>
      <c r="FR51" s="317"/>
      <c r="FS51" s="317"/>
      <c r="FT51" s="317"/>
      <c r="FU51" s="317"/>
      <c r="FV51" s="317"/>
      <c r="FW51" s="317"/>
      <c r="FX51" s="317"/>
      <c r="FY51" s="317"/>
      <c r="FZ51" s="317"/>
      <c r="GA51" s="317"/>
      <c r="GB51" s="317"/>
      <c r="GC51" s="317"/>
      <c r="GD51" s="317"/>
      <c r="GE51" s="317"/>
      <c r="GF51" s="317"/>
      <c r="GG51" s="317"/>
      <c r="GH51" s="317"/>
      <c r="GI51" s="317"/>
      <c r="GJ51" s="317"/>
      <c r="GK51" s="317"/>
      <c r="GL51" s="317"/>
      <c r="GM51" s="317"/>
      <c r="GN51" s="317"/>
      <c r="GO51" s="317"/>
      <c r="GP51" s="317"/>
      <c r="GQ51" s="317"/>
      <c r="GR51" s="317"/>
      <c r="GS51" s="317"/>
      <c r="GT51" s="317"/>
      <c r="GU51" s="317"/>
      <c r="GV51" s="317"/>
      <c r="GW51" s="317"/>
      <c r="GX51" s="317"/>
      <c r="GY51" s="317"/>
      <c r="GZ51" s="317"/>
      <c r="HA51" s="317"/>
      <c r="HB51" s="317"/>
      <c r="HC51" s="317"/>
      <c r="HD51" s="317"/>
      <c r="HE51" s="317"/>
      <c r="HF51" s="317"/>
      <c r="HG51" s="317"/>
      <c r="HH51" s="317"/>
      <c r="HI51" s="317"/>
      <c r="HJ51" s="317"/>
    </row>
    <row r="52" ht="15.0" customHeight="1">
      <c r="A52" s="162"/>
      <c r="B52" s="331"/>
      <c r="C52" s="59"/>
      <c r="D52" s="57"/>
      <c r="E52" s="39"/>
      <c r="F52" s="39"/>
      <c r="G52" s="39"/>
      <c r="H52" s="39"/>
      <c r="I52" s="39"/>
      <c r="J52" s="39"/>
      <c r="K52" s="39"/>
      <c r="L52" s="39"/>
      <c r="M52" s="40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59"/>
      <c r="AT52" s="332">
        <v>20.0</v>
      </c>
      <c r="AU52" s="9"/>
      <c r="AV52" s="10"/>
      <c r="AW52" s="333" t="s">
        <v>37</v>
      </c>
      <c r="AX52" s="334">
        <f>AX51*AT52/100</f>
        <v>1000</v>
      </c>
      <c r="AY52" s="9"/>
      <c r="AZ52" s="10"/>
      <c r="BA52" s="334">
        <f>BA51*AT52/100</f>
        <v>2000</v>
      </c>
      <c r="BB52" s="9"/>
      <c r="BC52" s="10"/>
      <c r="BD52" s="334">
        <f>BD51*AT52/100</f>
        <v>1000</v>
      </c>
      <c r="BE52" s="9"/>
      <c r="BF52" s="10"/>
      <c r="BG52" s="334">
        <f>BG51*AT52/100</f>
        <v>2000</v>
      </c>
      <c r="BH52" s="9"/>
      <c r="BI52" s="10"/>
      <c r="BJ52" s="334">
        <f>BJ51*AT52/100</f>
        <v>0</v>
      </c>
      <c r="BK52" s="9"/>
      <c r="BL52" s="10"/>
      <c r="BM52" s="334">
        <f>BM51*AT52/100</f>
        <v>0</v>
      </c>
      <c r="BN52" s="9"/>
      <c r="BO52" s="10"/>
      <c r="BP52" s="334">
        <f>BP51*AT52/100</f>
        <v>0</v>
      </c>
      <c r="BQ52" s="9"/>
      <c r="BR52" s="10"/>
      <c r="BS52" s="334">
        <f>BS51*AT52/100</f>
        <v>0</v>
      </c>
      <c r="BT52" s="9"/>
      <c r="BU52" s="10"/>
      <c r="BV52" s="334">
        <f>BV51*AT52/100</f>
        <v>0</v>
      </c>
      <c r="BW52" s="9"/>
      <c r="BX52" s="10"/>
      <c r="BY52" s="334">
        <f>BY51*HH51/100</f>
        <v>0</v>
      </c>
      <c r="BZ52" s="9"/>
      <c r="CA52" s="10"/>
      <c r="CB52" s="334">
        <f>CB51*AT52/100</f>
        <v>0</v>
      </c>
      <c r="CC52" s="9"/>
      <c r="CD52" s="10"/>
      <c r="CE52" s="334">
        <f>CE51*AT52/100</f>
        <v>0</v>
      </c>
      <c r="CF52" s="9"/>
      <c r="CG52" s="10"/>
      <c r="CH52" s="334">
        <f>CH51*AT52/100</f>
        <v>0</v>
      </c>
      <c r="CI52" s="9"/>
      <c r="CJ52" s="10"/>
      <c r="CK52" s="334">
        <f>CK51*AT52/100</f>
        <v>0</v>
      </c>
      <c r="CL52" s="9"/>
      <c r="CM52" s="10"/>
      <c r="CN52" s="334">
        <f>CN51*AT52/100</f>
        <v>0</v>
      </c>
      <c r="CO52" s="9"/>
      <c r="CP52" s="10"/>
      <c r="CQ52" s="335"/>
      <c r="CR52" s="249">
        <f>sum(CR40:CT46,CR48,CR49,CR50,CR51)</f>
        <v>15000</v>
      </c>
      <c r="CS52" s="12"/>
      <c r="CT52" s="13"/>
      <c r="CU52" s="268" t="s">
        <v>34</v>
      </c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3"/>
      <c r="DH52" s="336">
        <f>sum(DT43,DT44,DT46)/3</f>
        <v>33.33333333</v>
      </c>
      <c r="DI52" s="12"/>
      <c r="DJ52" s="13"/>
      <c r="DK52" s="330">
        <v>100.0</v>
      </c>
      <c r="DL52" s="12"/>
      <c r="DM52" s="13"/>
      <c r="DN52" s="253">
        <f>sum(DN43,DN44,DN46)</f>
        <v>10000</v>
      </c>
      <c r="DO52" s="12"/>
      <c r="DP52" s="13"/>
      <c r="DQ52" s="296">
        <f t="shared" si="16"/>
        <v>33.33333333</v>
      </c>
      <c r="DR52" s="12"/>
      <c r="DS52" s="13"/>
      <c r="DT52" s="301">
        <f t="shared" si="17"/>
        <v>33.33333333</v>
      </c>
      <c r="DU52" s="12"/>
      <c r="DV52" s="13"/>
      <c r="DW52" s="254">
        <f>(DK52-DH52)/'График'!AK12</f>
        <v>2.898550725</v>
      </c>
      <c r="DX52" s="12"/>
      <c r="DY52" s="13"/>
      <c r="DZ52" s="315"/>
      <c r="EA52" s="317"/>
      <c r="EB52" s="317"/>
      <c r="EC52" s="317"/>
      <c r="ED52" s="317"/>
      <c r="EE52" s="317"/>
      <c r="EF52" s="317"/>
      <c r="EG52" s="317"/>
      <c r="EH52" s="317"/>
      <c r="EI52" s="317"/>
      <c r="EJ52" s="317"/>
      <c r="EK52" s="317"/>
      <c r="EL52" s="317"/>
      <c r="EM52" s="317"/>
      <c r="EN52" s="317"/>
      <c r="EO52" s="317"/>
      <c r="EP52" s="317"/>
      <c r="EQ52" s="317"/>
      <c r="ER52" s="317"/>
      <c r="ES52" s="317"/>
      <c r="ET52" s="317"/>
      <c r="EU52" s="317"/>
      <c r="EV52" s="317"/>
      <c r="EW52" s="317"/>
      <c r="EX52" s="317"/>
      <c r="EY52" s="317"/>
      <c r="EZ52" s="317"/>
      <c r="FA52" s="317"/>
      <c r="FB52" s="317"/>
      <c r="FC52" s="317"/>
      <c r="FD52" s="317"/>
      <c r="FE52" s="317"/>
      <c r="FF52" s="317"/>
      <c r="FG52" s="317"/>
      <c r="FH52" s="317"/>
      <c r="FI52" s="317"/>
      <c r="FJ52" s="317"/>
      <c r="FK52" s="317"/>
      <c r="FL52" s="317"/>
      <c r="FM52" s="317"/>
      <c r="FN52" s="317"/>
      <c r="FO52" s="317"/>
      <c r="FP52" s="317"/>
      <c r="FQ52" s="317"/>
      <c r="FR52" s="317"/>
      <c r="FS52" s="317"/>
      <c r="FT52" s="317"/>
      <c r="FU52" s="317"/>
      <c r="FV52" s="317"/>
      <c r="FW52" s="317"/>
      <c r="FX52" s="317"/>
      <c r="FY52" s="317"/>
      <c r="FZ52" s="317"/>
      <c r="GA52" s="317"/>
      <c r="GB52" s="317"/>
      <c r="GC52" s="317"/>
      <c r="GD52" s="317"/>
      <c r="GE52" s="317"/>
      <c r="GF52" s="317"/>
      <c r="GG52" s="317"/>
      <c r="GH52" s="317"/>
      <c r="GI52" s="317"/>
      <c r="GJ52" s="317"/>
      <c r="GK52" s="317"/>
      <c r="GL52" s="317"/>
      <c r="GM52" s="317"/>
      <c r="GN52" s="317"/>
      <c r="GO52" s="317"/>
      <c r="GP52" s="317"/>
      <c r="GQ52" s="317"/>
      <c r="GR52" s="317"/>
      <c r="GS52" s="317"/>
      <c r="GT52" s="317"/>
      <c r="GU52" s="317"/>
      <c r="GV52" s="317"/>
      <c r="GW52" s="317"/>
      <c r="GX52" s="317"/>
      <c r="GY52" s="317"/>
      <c r="GZ52" s="317"/>
      <c r="HA52" s="317"/>
      <c r="HB52" s="317"/>
      <c r="HC52" s="317"/>
      <c r="HD52" s="317"/>
      <c r="HE52" s="317"/>
      <c r="HF52" s="317"/>
      <c r="HG52" s="317"/>
      <c r="HH52" s="317"/>
      <c r="HI52" s="317"/>
      <c r="HJ52" s="317"/>
    </row>
    <row r="53" ht="15.0" customHeight="1">
      <c r="A53" s="166"/>
      <c r="B53" s="13"/>
      <c r="C53" s="213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  <c r="AO53" s="337"/>
      <c r="AP53" s="337"/>
      <c r="AQ53" s="337"/>
      <c r="AR53" s="337"/>
      <c r="AS53" s="338"/>
      <c r="AT53" s="338"/>
      <c r="AU53" s="338"/>
      <c r="AV53" s="338"/>
      <c r="AW53" s="338"/>
      <c r="AX53" s="338"/>
      <c r="AY53" s="338"/>
      <c r="AZ53" s="338"/>
      <c r="BA53" s="338"/>
      <c r="BB53" s="338"/>
      <c r="BC53" s="338"/>
      <c r="BD53" s="338"/>
      <c r="BE53" s="338"/>
      <c r="BF53" s="338"/>
      <c r="BG53" s="338"/>
      <c r="BH53" s="338"/>
      <c r="BI53" s="338"/>
      <c r="BJ53" s="338"/>
      <c r="BK53" s="338"/>
      <c r="BL53" s="338"/>
      <c r="BM53" s="338"/>
      <c r="BN53" s="338"/>
      <c r="BO53" s="338"/>
      <c r="BP53" s="338"/>
      <c r="BQ53" s="338"/>
      <c r="BR53" s="338"/>
      <c r="BS53" s="338"/>
      <c r="BT53" s="338"/>
      <c r="BU53" s="338"/>
      <c r="BV53" s="338"/>
      <c r="BW53" s="338"/>
      <c r="BX53" s="338"/>
      <c r="BY53" s="338"/>
      <c r="BZ53" s="338"/>
      <c r="CA53" s="338"/>
      <c r="CB53" s="338"/>
      <c r="CC53" s="338"/>
      <c r="CD53" s="338"/>
      <c r="CE53" s="338"/>
      <c r="CF53" s="338"/>
      <c r="CG53" s="338"/>
      <c r="CH53" s="338"/>
      <c r="CI53" s="338"/>
      <c r="CJ53" s="338"/>
      <c r="CK53" s="338"/>
      <c r="CL53" s="338"/>
      <c r="CM53" s="338"/>
      <c r="CN53" s="338"/>
      <c r="CO53" s="338"/>
      <c r="CP53" s="338"/>
      <c r="CQ53" s="338"/>
      <c r="CR53" s="337"/>
      <c r="CS53" s="337"/>
      <c r="CT53" s="337"/>
      <c r="CU53" s="337"/>
      <c r="CV53" s="337"/>
      <c r="CW53" s="337"/>
      <c r="CX53" s="337"/>
      <c r="CY53" s="337"/>
      <c r="CZ53" s="337"/>
      <c r="DA53" s="337"/>
      <c r="DB53" s="337"/>
      <c r="DC53" s="337"/>
      <c r="DD53" s="337"/>
      <c r="DE53" s="337"/>
      <c r="DF53" s="337"/>
      <c r="DG53" s="337"/>
      <c r="DH53" s="337"/>
      <c r="DI53" s="337"/>
      <c r="DJ53" s="337"/>
      <c r="DK53" s="338"/>
      <c r="DL53" s="338"/>
      <c r="DM53" s="338"/>
      <c r="DN53" s="337"/>
      <c r="DO53" s="337"/>
      <c r="DP53" s="337"/>
      <c r="DQ53" s="337"/>
      <c r="DR53" s="337"/>
      <c r="DS53" s="337"/>
      <c r="DT53" s="337"/>
      <c r="DU53" s="337"/>
      <c r="DV53" s="337"/>
      <c r="DW53" s="337"/>
      <c r="DX53" s="337"/>
      <c r="DY53" s="337"/>
      <c r="DZ53" s="338"/>
      <c r="EA53" s="338"/>
      <c r="EB53" s="338"/>
      <c r="EC53" s="338"/>
      <c r="ED53" s="338"/>
      <c r="EE53" s="338"/>
      <c r="EF53" s="338"/>
      <c r="EG53" s="338"/>
      <c r="EH53" s="338"/>
      <c r="EI53" s="338"/>
      <c r="EJ53" s="338"/>
      <c r="EK53" s="338"/>
      <c r="EL53" s="338"/>
      <c r="EM53" s="338"/>
      <c r="EN53" s="338"/>
      <c r="EO53" s="338"/>
      <c r="EP53" s="338"/>
      <c r="EQ53" s="338"/>
      <c r="ER53" s="338"/>
      <c r="ES53" s="338"/>
      <c r="ET53" s="338"/>
      <c r="EU53" s="338"/>
      <c r="EV53" s="338"/>
      <c r="EW53" s="338"/>
      <c r="EX53" s="338"/>
      <c r="EY53" s="338"/>
      <c r="EZ53" s="338"/>
      <c r="FA53" s="338"/>
      <c r="FB53" s="338"/>
      <c r="FC53" s="338"/>
      <c r="FD53" s="338"/>
      <c r="FE53" s="338"/>
      <c r="FF53" s="338"/>
      <c r="FG53" s="338"/>
      <c r="FH53" s="338"/>
      <c r="FI53" s="338"/>
      <c r="FJ53" s="338"/>
      <c r="FK53" s="338"/>
      <c r="FL53" s="338"/>
      <c r="FM53" s="338"/>
      <c r="FN53" s="338"/>
      <c r="FO53" s="338"/>
      <c r="FP53" s="338"/>
      <c r="FQ53" s="338"/>
      <c r="FR53" s="338"/>
      <c r="FS53" s="338"/>
      <c r="FT53" s="338"/>
      <c r="FU53" s="338"/>
      <c r="FV53" s="338"/>
      <c r="FW53" s="338"/>
      <c r="FX53" s="338"/>
      <c r="FY53" s="338"/>
      <c r="FZ53" s="338"/>
      <c r="GA53" s="338"/>
      <c r="GB53" s="338"/>
      <c r="GC53" s="338"/>
      <c r="GD53" s="338"/>
      <c r="GE53" s="338"/>
      <c r="GF53" s="338"/>
      <c r="GG53" s="338"/>
      <c r="GH53" s="338"/>
      <c r="GI53" s="338"/>
      <c r="GJ53" s="338"/>
      <c r="GK53" s="338"/>
      <c r="GL53" s="338"/>
      <c r="GM53" s="338"/>
      <c r="GN53" s="338"/>
      <c r="GO53" s="338"/>
      <c r="GP53" s="338"/>
      <c r="GQ53" s="338"/>
      <c r="GR53" s="338"/>
      <c r="GS53" s="338"/>
      <c r="GT53" s="338"/>
      <c r="GU53" s="338"/>
      <c r="GV53" s="338"/>
      <c r="GW53" s="338"/>
      <c r="GX53" s="338"/>
      <c r="GY53" s="338"/>
      <c r="GZ53" s="338"/>
      <c r="HA53" s="338"/>
      <c r="HB53" s="338"/>
      <c r="HC53" s="338"/>
      <c r="HD53" s="338"/>
      <c r="HE53" s="338"/>
      <c r="HF53" s="338"/>
      <c r="HG53" s="338"/>
      <c r="HH53" s="338"/>
      <c r="HI53" s="338"/>
      <c r="HJ53" s="338"/>
    </row>
    <row r="54" ht="15.0" customHeight="1">
      <c r="A54" s="181"/>
      <c r="B54" s="181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  <c r="CB54" s="214"/>
      <c r="CC54" s="214"/>
      <c r="CD54" s="214"/>
      <c r="CE54" s="214"/>
      <c r="CF54" s="214"/>
      <c r="CG54" s="214"/>
      <c r="CH54" s="214"/>
      <c r="CI54" s="214"/>
      <c r="CJ54" s="214"/>
      <c r="CK54" s="214"/>
      <c r="CL54" s="214"/>
      <c r="CM54" s="214"/>
      <c r="CN54" s="214"/>
      <c r="CO54" s="214"/>
      <c r="CP54" s="214"/>
      <c r="CQ54" s="214"/>
      <c r="CR54" s="214"/>
      <c r="CS54" s="214"/>
      <c r="CT54" s="214"/>
      <c r="CU54" s="214"/>
      <c r="CV54" s="214"/>
      <c r="CW54" s="214"/>
      <c r="CX54" s="214"/>
      <c r="CY54" s="214"/>
      <c r="CZ54" s="214"/>
      <c r="DA54" s="214"/>
      <c r="DB54" s="214"/>
      <c r="DC54" s="214"/>
      <c r="DD54" s="214"/>
      <c r="DE54" s="214"/>
      <c r="DF54" s="214"/>
      <c r="DG54" s="214"/>
      <c r="DH54" s="214"/>
      <c r="DI54" s="214"/>
      <c r="DJ54" s="214"/>
      <c r="DK54" s="214"/>
      <c r="DL54" s="214"/>
      <c r="DM54" s="214"/>
      <c r="DN54" s="214"/>
      <c r="DO54" s="214"/>
      <c r="DP54" s="214"/>
      <c r="DQ54" s="214"/>
      <c r="DR54" s="214"/>
      <c r="DS54" s="214"/>
      <c r="DT54" s="214"/>
      <c r="DU54" s="214"/>
      <c r="DV54" s="214"/>
      <c r="DW54" s="214"/>
      <c r="DX54" s="214"/>
      <c r="DY54" s="214"/>
      <c r="DZ54" s="214"/>
      <c r="EA54" s="214"/>
      <c r="EB54" s="214"/>
      <c r="EC54" s="214"/>
      <c r="ED54" s="214"/>
      <c r="EE54" s="214"/>
      <c r="EF54" s="214"/>
      <c r="EG54" s="214"/>
      <c r="EH54" s="214"/>
      <c r="EI54" s="214"/>
      <c r="EJ54" s="214"/>
      <c r="EK54" s="214"/>
      <c r="EL54" s="214"/>
      <c r="EM54" s="214"/>
      <c r="EN54" s="214"/>
      <c r="EO54" s="214"/>
      <c r="EP54" s="214"/>
      <c r="EQ54" s="214"/>
      <c r="ER54" s="214"/>
      <c r="ES54" s="214"/>
      <c r="ET54" s="214"/>
      <c r="EU54" s="214"/>
      <c r="EV54" s="214"/>
      <c r="EW54" s="214"/>
      <c r="EX54" s="214"/>
      <c r="EY54" s="214"/>
      <c r="EZ54" s="214"/>
      <c r="FA54" s="214"/>
      <c r="FB54" s="214"/>
      <c r="FC54" s="214"/>
      <c r="FD54" s="214"/>
      <c r="FE54" s="214"/>
      <c r="FF54" s="214"/>
      <c r="FG54" s="214"/>
      <c r="FH54" s="214"/>
      <c r="FI54" s="214"/>
      <c r="FJ54" s="214"/>
      <c r="FK54" s="214"/>
      <c r="FL54" s="214"/>
      <c r="FM54" s="214"/>
      <c r="FN54" s="214"/>
      <c r="FO54" s="214"/>
      <c r="FP54" s="214"/>
      <c r="FQ54" s="214"/>
      <c r="FR54" s="214"/>
      <c r="FS54" s="214"/>
      <c r="FT54" s="214"/>
      <c r="FU54" s="214"/>
      <c r="FV54" s="214"/>
      <c r="FW54" s="214"/>
      <c r="FX54" s="214"/>
      <c r="FY54" s="214"/>
      <c r="FZ54" s="214"/>
      <c r="GA54" s="214"/>
      <c r="GB54" s="214"/>
      <c r="GC54" s="214"/>
      <c r="GD54" s="214"/>
      <c r="GE54" s="214"/>
      <c r="GF54" s="214"/>
      <c r="GG54" s="214"/>
      <c r="GH54" s="214"/>
      <c r="GI54" s="214"/>
      <c r="GJ54" s="214"/>
      <c r="GK54" s="214"/>
      <c r="GL54" s="214"/>
      <c r="GM54" s="214"/>
      <c r="GN54" s="214"/>
      <c r="GO54" s="214"/>
      <c r="GP54" s="214"/>
      <c r="GQ54" s="214"/>
      <c r="GR54" s="214"/>
      <c r="GS54" s="214"/>
      <c r="GT54" s="214"/>
      <c r="GU54" s="214"/>
      <c r="GV54" s="214"/>
      <c r="GW54" s="214"/>
      <c r="GX54" s="214"/>
      <c r="GY54" s="214"/>
      <c r="GZ54" s="214"/>
      <c r="HA54" s="214"/>
      <c r="HB54" s="214"/>
      <c r="HC54" s="214"/>
      <c r="HD54" s="214"/>
      <c r="HE54" s="214"/>
      <c r="HF54" s="214"/>
      <c r="HG54" s="214"/>
      <c r="HH54" s="214"/>
      <c r="HI54" s="214"/>
      <c r="HJ54" s="214"/>
    </row>
    <row r="55" ht="15.0" customHeight="1">
      <c r="A55" s="180"/>
      <c r="B55" s="13"/>
      <c r="C55" s="215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7"/>
      <c r="AT55" s="216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6"/>
      <c r="BL55" s="216"/>
      <c r="BM55" s="216"/>
      <c r="BN55" s="216"/>
      <c r="BO55" s="216"/>
      <c r="BP55" s="216"/>
      <c r="BQ55" s="216"/>
      <c r="BR55" s="216"/>
      <c r="BS55" s="216"/>
      <c r="BT55" s="216"/>
      <c r="BU55" s="216"/>
      <c r="BV55" s="216"/>
      <c r="BW55" s="216"/>
      <c r="BX55" s="216"/>
      <c r="BY55" s="216"/>
      <c r="BZ55" s="216"/>
      <c r="CA55" s="216"/>
      <c r="CB55" s="216"/>
      <c r="CC55" s="216"/>
      <c r="CD55" s="216"/>
      <c r="CE55" s="216"/>
      <c r="CF55" s="216"/>
      <c r="CG55" s="216"/>
      <c r="CH55" s="216"/>
      <c r="CI55" s="216"/>
      <c r="CJ55" s="216"/>
      <c r="CK55" s="216"/>
      <c r="CL55" s="216"/>
      <c r="CM55" s="216"/>
      <c r="CN55" s="216"/>
      <c r="CO55" s="216"/>
      <c r="CP55" s="216"/>
      <c r="CQ55" s="217"/>
      <c r="CR55" s="216"/>
      <c r="CS55" s="216"/>
      <c r="CT55" s="216"/>
      <c r="CU55" s="216"/>
      <c r="CV55" s="216"/>
      <c r="CW55" s="216"/>
      <c r="CX55" s="216"/>
      <c r="CY55" s="216"/>
      <c r="CZ55" s="216"/>
      <c r="DA55" s="216"/>
      <c r="DB55" s="216"/>
      <c r="DC55" s="216"/>
      <c r="DD55" s="216"/>
      <c r="DE55" s="216"/>
      <c r="DF55" s="216"/>
      <c r="DG55" s="216"/>
      <c r="DH55" s="216"/>
      <c r="DI55" s="216"/>
      <c r="DJ55" s="216"/>
      <c r="DK55" s="216"/>
      <c r="DL55" s="216"/>
      <c r="DM55" s="216"/>
      <c r="DN55" s="216"/>
      <c r="DO55" s="216"/>
      <c r="DP55" s="216"/>
      <c r="DQ55" s="216"/>
      <c r="DR55" s="216"/>
      <c r="DS55" s="216"/>
      <c r="DT55" s="216"/>
      <c r="DU55" s="216"/>
      <c r="DV55" s="216"/>
      <c r="DW55" s="216"/>
      <c r="DX55" s="216"/>
      <c r="DY55" s="216"/>
      <c r="DZ55" s="217"/>
      <c r="EA55" s="216"/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216"/>
      <c r="EO55" s="216"/>
      <c r="EP55" s="216"/>
      <c r="EQ55" s="216"/>
      <c r="ER55" s="216"/>
      <c r="ES55" s="217"/>
      <c r="ET55" s="216"/>
      <c r="EU55" s="216"/>
      <c r="EV55" s="216"/>
      <c r="EW55" s="216"/>
      <c r="EX55" s="216"/>
      <c r="EY55" s="216"/>
      <c r="EZ55" s="216"/>
      <c r="FA55" s="216"/>
      <c r="FB55" s="216"/>
      <c r="FC55" s="216"/>
      <c r="FD55" s="216"/>
      <c r="FE55" s="216"/>
      <c r="FF55" s="216"/>
      <c r="FG55" s="216"/>
      <c r="FH55" s="216"/>
      <c r="FI55" s="216"/>
      <c r="FJ55" s="216"/>
      <c r="FK55" s="216"/>
      <c r="FL55" s="216"/>
      <c r="FM55" s="217"/>
      <c r="FN55" s="216"/>
      <c r="FO55" s="216"/>
      <c r="FP55" s="216"/>
      <c r="FQ55" s="216"/>
      <c r="FR55" s="216"/>
      <c r="FS55" s="216"/>
      <c r="FT55" s="216"/>
      <c r="FU55" s="216"/>
      <c r="FV55" s="216"/>
      <c r="FW55" s="216"/>
      <c r="FX55" s="216"/>
      <c r="FY55" s="216"/>
      <c r="FZ55" s="216"/>
      <c r="GA55" s="216"/>
      <c r="GB55" s="216"/>
      <c r="GC55" s="216"/>
      <c r="GD55" s="216"/>
      <c r="GE55" s="216"/>
      <c r="GF55" s="216"/>
      <c r="GG55" s="216"/>
      <c r="GH55" s="216"/>
      <c r="GI55" s="216"/>
      <c r="GJ55" s="216"/>
      <c r="GK55" s="216"/>
      <c r="GL55" s="216"/>
      <c r="GM55" s="216"/>
      <c r="GN55" s="216"/>
      <c r="GO55" s="216"/>
      <c r="GP55" s="216"/>
      <c r="GQ55" s="216"/>
      <c r="GR55" s="216"/>
      <c r="GS55" s="216"/>
      <c r="GT55" s="216"/>
      <c r="GU55" s="216"/>
      <c r="GV55" s="216"/>
      <c r="GW55" s="216"/>
      <c r="GX55" s="216"/>
      <c r="GY55" s="216"/>
      <c r="GZ55" s="216"/>
      <c r="HA55" s="216"/>
      <c r="HB55" s="216"/>
      <c r="HC55" s="216"/>
      <c r="HD55" s="216"/>
      <c r="HE55" s="216"/>
      <c r="HF55" s="216"/>
      <c r="HG55" s="216"/>
      <c r="HH55" s="216"/>
      <c r="HI55" s="216"/>
      <c r="HJ55" s="217"/>
    </row>
    <row r="56" ht="15.0" customHeight="1">
      <c r="A56" s="189"/>
      <c r="B56" s="13"/>
      <c r="C56" s="218"/>
      <c r="D56" s="4" t="s">
        <v>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6"/>
      <c r="AS56" s="219"/>
      <c r="AT56" s="8" t="s">
        <v>1</v>
      </c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10"/>
      <c r="CQ56" s="220"/>
      <c r="CR56" s="221" t="s">
        <v>85</v>
      </c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3"/>
      <c r="DZ56" s="219"/>
      <c r="EA56" s="14" t="s">
        <v>3</v>
      </c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6"/>
      <c r="ES56" s="219"/>
      <c r="ET56" s="17" t="s">
        <v>86</v>
      </c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9"/>
      <c r="FM56" s="219"/>
      <c r="FN56" s="20" t="s">
        <v>106</v>
      </c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2"/>
      <c r="HJ56" s="222"/>
    </row>
    <row r="57" ht="15.0" customHeight="1">
      <c r="A57" s="23" t="s">
        <v>107</v>
      </c>
      <c r="B57" s="223"/>
      <c r="D57" s="224" t="s">
        <v>7</v>
      </c>
      <c r="E57" s="27"/>
      <c r="F57" s="27"/>
      <c r="G57" s="27"/>
      <c r="H57" s="27"/>
      <c r="I57" s="27"/>
      <c r="J57" s="27"/>
      <c r="K57" s="27"/>
      <c r="L57" s="28"/>
      <c r="M57" s="225" t="s">
        <v>8</v>
      </c>
      <c r="N57" s="226">
        <v>44562.0</v>
      </c>
      <c r="O57" s="226">
        <v>44563.0</v>
      </c>
      <c r="P57" s="226">
        <v>44564.0</v>
      </c>
      <c r="Q57" s="226">
        <v>44565.0</v>
      </c>
      <c r="R57" s="226">
        <v>44566.0</v>
      </c>
      <c r="S57" s="226">
        <v>44567.0</v>
      </c>
      <c r="T57" s="226">
        <v>44568.0</v>
      </c>
      <c r="U57" s="226">
        <v>44569.0</v>
      </c>
      <c r="V57" s="226">
        <v>44570.0</v>
      </c>
      <c r="W57" s="226">
        <v>44571.0</v>
      </c>
      <c r="X57" s="226">
        <v>44572.0</v>
      </c>
      <c r="Y57" s="226">
        <v>44573.0</v>
      </c>
      <c r="Z57" s="226">
        <v>44574.0</v>
      </c>
      <c r="AA57" s="226">
        <v>44575.0</v>
      </c>
      <c r="AB57" s="226">
        <v>44576.0</v>
      </c>
      <c r="AC57" s="226">
        <v>44577.0</v>
      </c>
      <c r="AD57" s="226">
        <v>44578.0</v>
      </c>
      <c r="AE57" s="226">
        <v>44579.0</v>
      </c>
      <c r="AF57" s="226">
        <v>44580.0</v>
      </c>
      <c r="AG57" s="226">
        <v>44581.0</v>
      </c>
      <c r="AH57" s="226">
        <v>44582.0</v>
      </c>
      <c r="AI57" s="226">
        <v>44583.0</v>
      </c>
      <c r="AJ57" s="226">
        <v>44584.0</v>
      </c>
      <c r="AK57" s="226">
        <v>44585.0</v>
      </c>
      <c r="AL57" s="226">
        <v>44586.0</v>
      </c>
      <c r="AM57" s="226">
        <v>44587.0</v>
      </c>
      <c r="AN57" s="226">
        <v>44588.0</v>
      </c>
      <c r="AO57" s="226">
        <v>44589.0</v>
      </c>
      <c r="AP57" s="226">
        <v>44590.0</v>
      </c>
      <c r="AQ57" s="226">
        <v>44591.0</v>
      </c>
      <c r="AR57" s="226">
        <v>44592.0</v>
      </c>
      <c r="AT57" s="227" t="s">
        <v>9</v>
      </c>
      <c r="AU57" s="228"/>
      <c r="AV57" s="228"/>
      <c r="AW57" s="229"/>
      <c r="AX57" s="230" t="s">
        <v>89</v>
      </c>
      <c r="AY57" s="228"/>
      <c r="AZ57" s="229"/>
      <c r="BA57" s="230" t="s">
        <v>108</v>
      </c>
      <c r="BB57" s="228"/>
      <c r="BC57" s="229"/>
      <c r="BD57" s="230"/>
      <c r="BE57" s="228"/>
      <c r="BF57" s="229"/>
      <c r="BG57" s="231"/>
      <c r="BH57" s="228"/>
      <c r="BI57" s="229"/>
      <c r="BJ57" s="231"/>
      <c r="BK57" s="228"/>
      <c r="BL57" s="229"/>
      <c r="BM57" s="231"/>
      <c r="BN57" s="228"/>
      <c r="BO57" s="229"/>
      <c r="BP57" s="231"/>
      <c r="BQ57" s="228"/>
      <c r="BR57" s="229"/>
      <c r="BS57" s="231"/>
      <c r="BT57" s="228"/>
      <c r="BU57" s="229"/>
      <c r="BV57" s="231"/>
      <c r="BW57" s="228"/>
      <c r="BX57" s="229"/>
      <c r="BY57" s="231"/>
      <c r="BZ57" s="228"/>
      <c r="CA57" s="229"/>
      <c r="CB57" s="231"/>
      <c r="CC57" s="228"/>
      <c r="CD57" s="229"/>
      <c r="CE57" s="231"/>
      <c r="CF57" s="228"/>
      <c r="CG57" s="229"/>
      <c r="CH57" s="231"/>
      <c r="CI57" s="228"/>
      <c r="CJ57" s="229"/>
      <c r="CK57" s="231"/>
      <c r="CL57" s="228"/>
      <c r="CM57" s="229"/>
      <c r="CN57" s="231"/>
      <c r="CO57" s="228"/>
      <c r="CP57" s="229"/>
      <c r="CQ57" s="220"/>
      <c r="CR57" s="37" t="s">
        <v>10</v>
      </c>
      <c r="CS57" s="12"/>
      <c r="CT57" s="13"/>
      <c r="CU57" s="37" t="s">
        <v>11</v>
      </c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3"/>
      <c r="DH57" s="232" t="s">
        <v>12</v>
      </c>
      <c r="DI57" s="12"/>
      <c r="DJ57" s="13"/>
      <c r="DK57" s="232" t="s">
        <v>13</v>
      </c>
      <c r="DL57" s="12"/>
      <c r="DM57" s="13"/>
      <c r="DN57" s="233" t="s">
        <v>90</v>
      </c>
      <c r="DO57" s="12"/>
      <c r="DP57" s="13"/>
      <c r="DQ57" s="37" t="s">
        <v>91</v>
      </c>
      <c r="DR57" s="12"/>
      <c r="DS57" s="13"/>
      <c r="DT57" s="234" t="s">
        <v>16</v>
      </c>
      <c r="DU57" s="12"/>
      <c r="DV57" s="13"/>
      <c r="DW57" s="233" t="s">
        <v>92</v>
      </c>
      <c r="DX57" s="12"/>
      <c r="DY57" s="13"/>
      <c r="EA57" s="235" t="s">
        <v>18</v>
      </c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6"/>
      <c r="EO57" s="236" t="s">
        <v>93</v>
      </c>
      <c r="EP57" s="16"/>
      <c r="EQ57" s="236" t="s">
        <v>94</v>
      </c>
      <c r="ER57" s="16"/>
      <c r="ET57" s="237" t="s">
        <v>20</v>
      </c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9"/>
      <c r="FJ57" s="238" t="s">
        <v>21</v>
      </c>
      <c r="FK57" s="18"/>
      <c r="FL57" s="19"/>
      <c r="FN57" s="239" t="s">
        <v>22</v>
      </c>
      <c r="FO57" s="240"/>
      <c r="FP57" s="240"/>
      <c r="FQ57" s="240"/>
      <c r="FR57" s="240"/>
      <c r="FS57" s="240"/>
      <c r="FT57" s="240"/>
      <c r="FU57" s="240"/>
      <c r="FV57" s="240"/>
      <c r="FW57" s="240"/>
      <c r="FX57" s="240"/>
      <c r="FY57" s="241"/>
      <c r="FZ57" s="242" t="s">
        <v>23</v>
      </c>
      <c r="GA57" s="241"/>
      <c r="GB57" s="243">
        <v>44317.0</v>
      </c>
      <c r="GC57" s="243">
        <v>44318.0</v>
      </c>
      <c r="GD57" s="243">
        <v>44319.0</v>
      </c>
      <c r="GE57" s="243">
        <v>44320.0</v>
      </c>
      <c r="GF57" s="243">
        <v>44321.0</v>
      </c>
      <c r="GG57" s="243">
        <v>44322.0</v>
      </c>
      <c r="GH57" s="243">
        <v>44323.0</v>
      </c>
      <c r="GI57" s="243">
        <v>44324.0</v>
      </c>
      <c r="GJ57" s="243">
        <v>44325.0</v>
      </c>
      <c r="GK57" s="243">
        <v>44326.0</v>
      </c>
      <c r="GL57" s="243">
        <v>44327.0</v>
      </c>
      <c r="GM57" s="243">
        <v>44328.0</v>
      </c>
      <c r="GN57" s="243">
        <v>44329.0</v>
      </c>
      <c r="GO57" s="243">
        <v>44330.0</v>
      </c>
      <c r="GP57" s="243">
        <v>44331.0</v>
      </c>
      <c r="GQ57" s="243">
        <v>44332.0</v>
      </c>
      <c r="GR57" s="243">
        <v>44333.0</v>
      </c>
      <c r="GS57" s="243">
        <v>44334.0</v>
      </c>
      <c r="GT57" s="243">
        <v>44335.0</v>
      </c>
      <c r="GU57" s="243">
        <v>44336.0</v>
      </c>
      <c r="GV57" s="243">
        <v>44337.0</v>
      </c>
      <c r="GW57" s="243">
        <v>44338.0</v>
      </c>
      <c r="GX57" s="243">
        <v>44339.0</v>
      </c>
      <c r="GY57" s="243">
        <v>44340.0</v>
      </c>
      <c r="GZ57" s="243">
        <v>44341.0</v>
      </c>
      <c r="HA57" s="243">
        <v>44342.0</v>
      </c>
      <c r="HB57" s="243">
        <v>44343.0</v>
      </c>
      <c r="HC57" s="243">
        <v>44344.0</v>
      </c>
      <c r="HD57" s="243">
        <v>44345.0</v>
      </c>
      <c r="HE57" s="243">
        <v>44346.0</v>
      </c>
      <c r="HF57" s="243">
        <v>44347.0</v>
      </c>
      <c r="HG57" s="244" t="s">
        <v>24</v>
      </c>
      <c r="HH57" s="240"/>
      <c r="HI57" s="241"/>
      <c r="HJ57" s="35"/>
    </row>
    <row r="58" ht="15.0" customHeight="1">
      <c r="A58" s="54"/>
      <c r="B58" s="245"/>
      <c r="D58" s="55"/>
      <c r="L58" s="33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T58" s="246"/>
      <c r="AU58" s="247"/>
      <c r="AV58" s="247"/>
      <c r="AW58" s="248"/>
      <c r="AX58" s="246"/>
      <c r="AY58" s="247"/>
      <c r="AZ58" s="248"/>
      <c r="BA58" s="246"/>
      <c r="BB58" s="247"/>
      <c r="BC58" s="248"/>
      <c r="BD58" s="246"/>
      <c r="BE58" s="247"/>
      <c r="BF58" s="248"/>
      <c r="BG58" s="246"/>
      <c r="BH58" s="247"/>
      <c r="BI58" s="248"/>
      <c r="BJ58" s="246"/>
      <c r="BK58" s="247"/>
      <c r="BL58" s="248"/>
      <c r="BM58" s="246"/>
      <c r="BN58" s="247"/>
      <c r="BO58" s="248"/>
      <c r="BP58" s="246"/>
      <c r="BQ58" s="247"/>
      <c r="BR58" s="248"/>
      <c r="BS58" s="246"/>
      <c r="BT58" s="247"/>
      <c r="BU58" s="248"/>
      <c r="BV58" s="246"/>
      <c r="BW58" s="247"/>
      <c r="BX58" s="248"/>
      <c r="BY58" s="246"/>
      <c r="BZ58" s="247"/>
      <c r="CA58" s="248"/>
      <c r="CB58" s="246"/>
      <c r="CC58" s="247"/>
      <c r="CD58" s="248"/>
      <c r="CE58" s="246"/>
      <c r="CF58" s="247"/>
      <c r="CG58" s="248"/>
      <c r="CH58" s="246"/>
      <c r="CI58" s="247"/>
      <c r="CJ58" s="248"/>
      <c r="CK58" s="246"/>
      <c r="CL58" s="247"/>
      <c r="CM58" s="248"/>
      <c r="CN58" s="246"/>
      <c r="CO58" s="247"/>
      <c r="CP58" s="248"/>
      <c r="CQ58" s="220"/>
      <c r="CR58" s="249"/>
      <c r="CS58" s="12"/>
      <c r="CT58" s="13"/>
      <c r="CU58" s="250" t="s">
        <v>25</v>
      </c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3"/>
      <c r="DH58" s="251">
        <f t="shared" ref="DH58:DH63" si="18">SUM(N61:AR61)</f>
        <v>18</v>
      </c>
      <c r="DI58" s="12"/>
      <c r="DJ58" s="13"/>
      <c r="DK58" s="252">
        <v>0.0</v>
      </c>
      <c r="DL58" s="12"/>
      <c r="DM58" s="13"/>
      <c r="DN58" s="253">
        <f t="shared" ref="DN58:DN69" si="19">CR58*DT58/100</f>
        <v>0</v>
      </c>
      <c r="DO58" s="12"/>
      <c r="DP58" s="13"/>
      <c r="DQ58" s="252">
        <v>0.0</v>
      </c>
      <c r="DR58" s="12"/>
      <c r="DS58" s="13"/>
      <c r="DT58" s="254">
        <v>0.0</v>
      </c>
      <c r="DU58" s="12"/>
      <c r="DV58" s="13"/>
      <c r="DW58" s="255" t="str">
        <f>(DK58-DH58)/'График'!AK30</f>
        <v>#DIV/0!</v>
      </c>
      <c r="DX58" s="12"/>
      <c r="DY58" s="13"/>
      <c r="EA58" s="256" t="s">
        <v>26</v>
      </c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6"/>
      <c r="EO58" s="257">
        <f>DH60*100/DH58</f>
        <v>16.66666667</v>
      </c>
      <c r="EP58" s="16"/>
      <c r="EQ58" s="257">
        <f>((DH60*100/DH58)+EO40)/2</f>
        <v>19.44444444</v>
      </c>
      <c r="ER58" s="16"/>
      <c r="ET58" s="258" t="s">
        <v>27</v>
      </c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9"/>
      <c r="FJ58" s="259">
        <f>HG67</f>
        <v>0</v>
      </c>
      <c r="FK58" s="18"/>
      <c r="FL58" s="19"/>
      <c r="FN58" s="260"/>
      <c r="FY58" s="261"/>
      <c r="FZ58" s="260"/>
      <c r="GA58" s="261"/>
      <c r="GB58" s="262"/>
      <c r="GC58" s="262"/>
      <c r="GD58" s="262"/>
      <c r="GE58" s="262"/>
      <c r="GF58" s="262"/>
      <c r="GG58" s="262"/>
      <c r="GH58" s="262"/>
      <c r="GI58" s="262"/>
      <c r="GJ58" s="262"/>
      <c r="GK58" s="262"/>
      <c r="GL58" s="262"/>
      <c r="GM58" s="262"/>
      <c r="GN58" s="262"/>
      <c r="GO58" s="262"/>
      <c r="GP58" s="262"/>
      <c r="GQ58" s="262"/>
      <c r="GR58" s="262"/>
      <c r="GS58" s="262"/>
      <c r="GT58" s="262"/>
      <c r="GU58" s="262"/>
      <c r="GV58" s="262"/>
      <c r="GW58" s="262"/>
      <c r="GX58" s="262"/>
      <c r="GY58" s="262"/>
      <c r="GZ58" s="262"/>
      <c r="HA58" s="262"/>
      <c r="HB58" s="262"/>
      <c r="HC58" s="262"/>
      <c r="HD58" s="262"/>
      <c r="HE58" s="262"/>
      <c r="HF58" s="262"/>
      <c r="HG58" s="260"/>
      <c r="HI58" s="261"/>
      <c r="HJ58" s="35"/>
    </row>
    <row r="59" ht="15.0" customHeight="1">
      <c r="A59" s="54"/>
      <c r="B59" s="245"/>
      <c r="D59" s="55"/>
      <c r="L59" s="33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T59" s="263" t="s">
        <v>21</v>
      </c>
      <c r="AU59" s="9"/>
      <c r="AV59" s="9"/>
      <c r="AW59" s="10"/>
      <c r="AX59" s="264">
        <v>25000.0</v>
      </c>
      <c r="AY59" s="9"/>
      <c r="AZ59" s="10"/>
      <c r="BA59" s="264">
        <v>25000.0</v>
      </c>
      <c r="BB59" s="9"/>
      <c r="BC59" s="10"/>
      <c r="BD59" s="264"/>
      <c r="BE59" s="9"/>
      <c r="BF59" s="10"/>
      <c r="BG59" s="264"/>
      <c r="BH59" s="9"/>
      <c r="BI59" s="10"/>
      <c r="BJ59" s="264"/>
      <c r="BK59" s="9"/>
      <c r="BL59" s="10"/>
      <c r="BM59" s="264"/>
      <c r="BN59" s="9"/>
      <c r="BO59" s="10"/>
      <c r="BP59" s="264"/>
      <c r="BQ59" s="9"/>
      <c r="BR59" s="10"/>
      <c r="BS59" s="264"/>
      <c r="BT59" s="9"/>
      <c r="BU59" s="10"/>
      <c r="BV59" s="264"/>
      <c r="BW59" s="9"/>
      <c r="BX59" s="10"/>
      <c r="BY59" s="264"/>
      <c r="BZ59" s="9"/>
      <c r="CA59" s="10"/>
      <c r="CB59" s="264"/>
      <c r="CC59" s="9"/>
      <c r="CD59" s="10"/>
      <c r="CE59" s="264"/>
      <c r="CF59" s="9"/>
      <c r="CG59" s="10"/>
      <c r="CH59" s="264"/>
      <c r="CI59" s="9"/>
      <c r="CJ59" s="10"/>
      <c r="CK59" s="264"/>
      <c r="CL59" s="9"/>
      <c r="CM59" s="10"/>
      <c r="CN59" s="264"/>
      <c r="CO59" s="9"/>
      <c r="CP59" s="10"/>
      <c r="CQ59" s="220"/>
      <c r="CR59" s="249"/>
      <c r="CS59" s="12"/>
      <c r="CT59" s="13"/>
      <c r="CU59" s="250" t="s">
        <v>28</v>
      </c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3"/>
      <c r="DH59" s="251">
        <f t="shared" si="18"/>
        <v>58</v>
      </c>
      <c r="DI59" s="12"/>
      <c r="DJ59" s="13"/>
      <c r="DK59" s="252">
        <v>80.0</v>
      </c>
      <c r="DL59" s="12"/>
      <c r="DM59" s="13"/>
      <c r="DN59" s="253">
        <f t="shared" si="19"/>
        <v>0</v>
      </c>
      <c r="DO59" s="12"/>
      <c r="DP59" s="13"/>
      <c r="DQ59" s="251">
        <f t="shared" ref="DQ59:DQ62" si="20">IF(DH59&lt;DK59,DH59,IF(DH59&gt;=DK59,DK59))</f>
        <v>58</v>
      </c>
      <c r="DR59" s="12"/>
      <c r="DS59" s="13"/>
      <c r="DT59" s="254">
        <f t="shared" ref="DT59:DT62" si="21">DQ59*100/DK59</f>
        <v>72.5</v>
      </c>
      <c r="DU59" s="12"/>
      <c r="DV59" s="13"/>
      <c r="DW59" s="255" t="str">
        <f>(DK59-DH59)/'График'!AK30</f>
        <v>#DIV/0!</v>
      </c>
      <c r="DX59" s="12"/>
      <c r="DY59" s="13"/>
      <c r="EA59" s="256" t="s">
        <v>29</v>
      </c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6"/>
      <c r="EO59" s="257">
        <f>DH61*100/DH58</f>
        <v>16.66666667</v>
      </c>
      <c r="EP59" s="16"/>
      <c r="EQ59" s="257">
        <f>((DH60*100/DH58)+EO41)/2</f>
        <v>17.59259259</v>
      </c>
      <c r="ER59" s="16"/>
      <c r="ET59" s="265" t="s">
        <v>30</v>
      </c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9"/>
      <c r="FJ59" s="259">
        <f>sum(DN61,DN62,DN64)</f>
        <v>11000</v>
      </c>
      <c r="FK59" s="18"/>
      <c r="FL59" s="19"/>
      <c r="FN59" s="260"/>
      <c r="FY59" s="261"/>
      <c r="FZ59" s="260"/>
      <c r="GA59" s="261"/>
      <c r="GB59" s="262"/>
      <c r="GC59" s="262"/>
      <c r="GD59" s="262"/>
      <c r="GE59" s="262"/>
      <c r="GF59" s="262"/>
      <c r="GG59" s="262"/>
      <c r="GH59" s="262"/>
      <c r="GI59" s="262"/>
      <c r="GJ59" s="262"/>
      <c r="GK59" s="262"/>
      <c r="GL59" s="262"/>
      <c r="GM59" s="262"/>
      <c r="GN59" s="262"/>
      <c r="GO59" s="262"/>
      <c r="GP59" s="262"/>
      <c r="GQ59" s="262"/>
      <c r="GR59" s="262"/>
      <c r="GS59" s="262"/>
      <c r="GT59" s="262"/>
      <c r="GU59" s="262"/>
      <c r="GV59" s="262"/>
      <c r="GW59" s="262"/>
      <c r="GX59" s="262"/>
      <c r="GY59" s="262"/>
      <c r="GZ59" s="262"/>
      <c r="HA59" s="262"/>
      <c r="HB59" s="262"/>
      <c r="HC59" s="262"/>
      <c r="HD59" s="262"/>
      <c r="HE59" s="262"/>
      <c r="HF59" s="262"/>
      <c r="HG59" s="260"/>
      <c r="HI59" s="261"/>
      <c r="HJ59" s="35"/>
    </row>
    <row r="60" ht="15.0" customHeight="1">
      <c r="A60" s="54"/>
      <c r="B60" s="245"/>
      <c r="D60" s="57"/>
      <c r="E60" s="39"/>
      <c r="F60" s="39"/>
      <c r="G60" s="39"/>
      <c r="H60" s="39"/>
      <c r="I60" s="39"/>
      <c r="J60" s="39"/>
      <c r="K60" s="39"/>
      <c r="L60" s="40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T60" s="266" t="s">
        <v>31</v>
      </c>
      <c r="AU60" s="9"/>
      <c r="AV60" s="9"/>
      <c r="AW60" s="10"/>
      <c r="AX60" s="267">
        <v>1.0</v>
      </c>
      <c r="AY60" s="9"/>
      <c r="AZ60" s="10"/>
      <c r="BA60" s="267">
        <v>2.0</v>
      </c>
      <c r="BB60" s="9"/>
      <c r="BC60" s="10"/>
      <c r="BD60" s="267">
        <v>3.0</v>
      </c>
      <c r="BE60" s="9"/>
      <c r="BF60" s="10"/>
      <c r="BG60" s="267"/>
      <c r="BH60" s="9"/>
      <c r="BI60" s="10"/>
      <c r="BJ60" s="267"/>
      <c r="BK60" s="9"/>
      <c r="BL60" s="10"/>
      <c r="BM60" s="267"/>
      <c r="BN60" s="9"/>
      <c r="BO60" s="10"/>
      <c r="BP60" s="267"/>
      <c r="BQ60" s="9"/>
      <c r="BR60" s="10"/>
      <c r="BS60" s="267"/>
      <c r="BT60" s="9"/>
      <c r="BU60" s="10"/>
      <c r="BV60" s="267"/>
      <c r="BW60" s="9"/>
      <c r="BX60" s="10"/>
      <c r="BY60" s="267"/>
      <c r="BZ60" s="9"/>
      <c r="CA60" s="10"/>
      <c r="CB60" s="267"/>
      <c r="CC60" s="9"/>
      <c r="CD60" s="10"/>
      <c r="CE60" s="267"/>
      <c r="CF60" s="9"/>
      <c r="CG60" s="10"/>
      <c r="CH60" s="267"/>
      <c r="CI60" s="9"/>
      <c r="CJ60" s="10"/>
      <c r="CK60" s="267"/>
      <c r="CL60" s="9"/>
      <c r="CM60" s="10"/>
      <c r="CN60" s="267"/>
      <c r="CO60" s="9"/>
      <c r="CP60" s="10"/>
      <c r="CQ60" s="220"/>
      <c r="CR60" s="249"/>
      <c r="CS60" s="12"/>
      <c r="CT60" s="13"/>
      <c r="CU60" s="268" t="s">
        <v>32</v>
      </c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3"/>
      <c r="DH60" s="251">
        <f t="shared" si="18"/>
        <v>3</v>
      </c>
      <c r="DI60" s="12"/>
      <c r="DJ60" s="13"/>
      <c r="DK60" s="252">
        <v>5.0</v>
      </c>
      <c r="DL60" s="12"/>
      <c r="DM60" s="13"/>
      <c r="DN60" s="253">
        <f t="shared" si="19"/>
        <v>0</v>
      </c>
      <c r="DO60" s="12"/>
      <c r="DP60" s="13"/>
      <c r="DQ60" s="251">
        <f t="shared" si="20"/>
        <v>3</v>
      </c>
      <c r="DR60" s="12"/>
      <c r="DS60" s="13"/>
      <c r="DT60" s="254">
        <f t="shared" si="21"/>
        <v>60</v>
      </c>
      <c r="DU60" s="12"/>
      <c r="DV60" s="13"/>
      <c r="DW60" s="255" t="str">
        <f>(DK60-DH60)/'График'!AK30</f>
        <v>#DIV/0!</v>
      </c>
      <c r="DX60" s="12"/>
      <c r="DY60" s="13"/>
      <c r="EA60" s="269" t="s">
        <v>33</v>
      </c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6"/>
      <c r="EO60" s="257">
        <f>DH62*100/DH58</f>
        <v>5.555555556</v>
      </c>
      <c r="EP60" s="16"/>
      <c r="EQ60" s="257">
        <f>((DH62*100/DH58)+EO42)/2</f>
        <v>2.777777778</v>
      </c>
      <c r="ER60" s="16"/>
      <c r="ET60" s="265" t="s">
        <v>34</v>
      </c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9"/>
      <c r="FJ60" s="270">
        <f>sum(DT61,DT62,DT64)/3</f>
        <v>86.66666667</v>
      </c>
      <c r="FK60" s="18"/>
      <c r="FL60" s="19"/>
      <c r="FN60" s="271"/>
      <c r="FO60" s="272"/>
      <c r="FP60" s="272"/>
      <c r="FQ60" s="272"/>
      <c r="FR60" s="272"/>
      <c r="FS60" s="272"/>
      <c r="FT60" s="272"/>
      <c r="FU60" s="272"/>
      <c r="FV60" s="272"/>
      <c r="FW60" s="272"/>
      <c r="FX60" s="272"/>
      <c r="FY60" s="273"/>
      <c r="FZ60" s="271"/>
      <c r="GA60" s="273"/>
      <c r="GB60" s="274"/>
      <c r="GC60" s="274"/>
      <c r="GD60" s="274"/>
      <c r="GE60" s="274"/>
      <c r="GF60" s="274"/>
      <c r="GG60" s="274"/>
      <c r="GH60" s="274"/>
      <c r="GI60" s="274"/>
      <c r="GJ60" s="274"/>
      <c r="GK60" s="274"/>
      <c r="GL60" s="274"/>
      <c r="GM60" s="274"/>
      <c r="GN60" s="274"/>
      <c r="GO60" s="274"/>
      <c r="GP60" s="274"/>
      <c r="GQ60" s="274"/>
      <c r="GR60" s="274"/>
      <c r="GS60" s="274"/>
      <c r="GT60" s="274"/>
      <c r="GU60" s="274"/>
      <c r="GV60" s="274"/>
      <c r="GW60" s="274"/>
      <c r="GX60" s="274"/>
      <c r="GY60" s="274"/>
      <c r="GZ60" s="274"/>
      <c r="HA60" s="274"/>
      <c r="HB60" s="274"/>
      <c r="HC60" s="274"/>
      <c r="HD60" s="274"/>
      <c r="HE60" s="274"/>
      <c r="HF60" s="274"/>
      <c r="HG60" s="271"/>
      <c r="HH60" s="272"/>
      <c r="HI60" s="273"/>
      <c r="HJ60" s="35"/>
    </row>
    <row r="61" ht="15.0" customHeight="1">
      <c r="A61" s="54"/>
      <c r="B61" s="245"/>
      <c r="D61" s="275" t="s">
        <v>35</v>
      </c>
      <c r="E61" s="5"/>
      <c r="F61" s="5"/>
      <c r="G61" s="5"/>
      <c r="H61" s="5"/>
      <c r="I61" s="5"/>
      <c r="J61" s="5"/>
      <c r="K61" s="5"/>
      <c r="L61" s="5"/>
      <c r="M61" s="6"/>
      <c r="N61" s="276">
        <v>1.0</v>
      </c>
      <c r="O61" s="276">
        <v>0.0</v>
      </c>
      <c r="P61" s="276">
        <v>0.0</v>
      </c>
      <c r="Q61" s="276">
        <v>3.0</v>
      </c>
      <c r="R61" s="276"/>
      <c r="S61" s="276"/>
      <c r="T61" s="276"/>
      <c r="U61" s="276">
        <v>4.0</v>
      </c>
      <c r="V61" s="276">
        <v>9.0</v>
      </c>
      <c r="W61" s="276">
        <v>1.0</v>
      </c>
      <c r="X61" s="276">
        <v>0.0</v>
      </c>
      <c r="Y61" s="276"/>
      <c r="Z61" s="276">
        <v>0.0</v>
      </c>
      <c r="AA61" s="276">
        <v>0.0</v>
      </c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6"/>
      <c r="AR61" s="276"/>
      <c r="AT61" s="277" t="s">
        <v>36</v>
      </c>
      <c r="AU61" s="9"/>
      <c r="AV61" s="10"/>
      <c r="AW61" s="278" t="s">
        <v>37</v>
      </c>
      <c r="AX61" s="279">
        <v>5.0</v>
      </c>
      <c r="AY61" s="9"/>
      <c r="AZ61" s="10"/>
      <c r="BA61" s="279">
        <v>5.0</v>
      </c>
      <c r="BB61" s="9"/>
      <c r="BC61" s="10"/>
      <c r="BD61" s="279">
        <v>5.0</v>
      </c>
      <c r="BE61" s="9"/>
      <c r="BF61" s="10"/>
      <c r="BG61" s="279">
        <v>10.0</v>
      </c>
      <c r="BH61" s="9"/>
      <c r="BI61" s="10"/>
      <c r="BJ61" s="279">
        <v>10.0</v>
      </c>
      <c r="BK61" s="9"/>
      <c r="BL61" s="10"/>
      <c r="BM61" s="279">
        <v>10.0</v>
      </c>
      <c r="BN61" s="9"/>
      <c r="BO61" s="10"/>
      <c r="BP61" s="279">
        <v>10.0</v>
      </c>
      <c r="BQ61" s="9"/>
      <c r="BR61" s="10"/>
      <c r="BS61" s="279">
        <v>10.0</v>
      </c>
      <c r="BT61" s="9"/>
      <c r="BU61" s="10"/>
      <c r="BV61" s="279">
        <v>10.0</v>
      </c>
      <c r="BW61" s="9"/>
      <c r="BX61" s="10"/>
      <c r="BY61" s="279">
        <v>10.0</v>
      </c>
      <c r="BZ61" s="9"/>
      <c r="CA61" s="10"/>
      <c r="CB61" s="279">
        <v>10.0</v>
      </c>
      <c r="CC61" s="9"/>
      <c r="CD61" s="10"/>
      <c r="CE61" s="279">
        <v>10.0</v>
      </c>
      <c r="CF61" s="9"/>
      <c r="CG61" s="10"/>
      <c r="CH61" s="279">
        <v>10.0</v>
      </c>
      <c r="CI61" s="9"/>
      <c r="CJ61" s="10"/>
      <c r="CK61" s="279">
        <v>10.0</v>
      </c>
      <c r="CL61" s="9"/>
      <c r="CM61" s="10"/>
      <c r="CN61" s="279">
        <v>10.0</v>
      </c>
      <c r="CO61" s="9"/>
      <c r="CP61" s="10"/>
      <c r="CQ61" s="220"/>
      <c r="CR61" s="249">
        <v>10000.0</v>
      </c>
      <c r="CS61" s="12"/>
      <c r="CT61" s="13"/>
      <c r="CU61" s="268" t="s">
        <v>38</v>
      </c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3"/>
      <c r="DH61" s="251">
        <f t="shared" si="18"/>
        <v>3</v>
      </c>
      <c r="DI61" s="12"/>
      <c r="DJ61" s="13"/>
      <c r="DK61" s="252">
        <v>5.0</v>
      </c>
      <c r="DL61" s="12"/>
      <c r="DM61" s="13"/>
      <c r="DN61" s="253">
        <f t="shared" si="19"/>
        <v>6000</v>
      </c>
      <c r="DO61" s="12"/>
      <c r="DP61" s="13"/>
      <c r="DQ61" s="251">
        <f t="shared" si="20"/>
        <v>3</v>
      </c>
      <c r="DR61" s="12"/>
      <c r="DS61" s="13"/>
      <c r="DT61" s="254">
        <f t="shared" si="21"/>
        <v>60</v>
      </c>
      <c r="DU61" s="12"/>
      <c r="DV61" s="13"/>
      <c r="DW61" s="255" t="str">
        <f>(DK61-DH61)/'График'!AK30</f>
        <v>#DIV/0!</v>
      </c>
      <c r="DX61" s="12"/>
      <c r="DY61" s="13"/>
      <c r="EA61" s="256" t="s">
        <v>39</v>
      </c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6"/>
      <c r="EO61" s="257">
        <f>DH60*100/DH59</f>
        <v>5.172413793</v>
      </c>
      <c r="EP61" s="16"/>
      <c r="EQ61" s="257">
        <f>((DH60*100/DH59)+EO43)/2</f>
        <v>4.586206897</v>
      </c>
      <c r="ER61" s="16"/>
      <c r="ET61" s="258" t="s">
        <v>40</v>
      </c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9"/>
      <c r="FJ61" s="259">
        <f>sum(AX70:CP70)</f>
        <v>6000</v>
      </c>
      <c r="FK61" s="18"/>
      <c r="FL61" s="19"/>
      <c r="FN61" s="280" t="s">
        <v>41</v>
      </c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2"/>
      <c r="FZ61" s="281">
        <v>200.0</v>
      </c>
      <c r="GA61" s="22"/>
      <c r="GB61" s="282"/>
      <c r="GC61" s="283"/>
      <c r="GD61" s="282"/>
      <c r="GE61" s="283"/>
      <c r="GF61" s="283"/>
      <c r="GG61" s="282"/>
      <c r="GH61" s="283"/>
      <c r="GI61" s="283"/>
      <c r="GJ61" s="283"/>
      <c r="GK61" s="282"/>
      <c r="GL61" s="282"/>
      <c r="GM61" s="283"/>
      <c r="GN61" s="282"/>
      <c r="GO61" s="283"/>
      <c r="GP61" s="283"/>
      <c r="GQ61" s="282"/>
      <c r="GR61" s="282"/>
      <c r="GS61" s="283"/>
      <c r="GT61" s="283"/>
      <c r="GU61" s="282"/>
      <c r="GV61" s="283"/>
      <c r="GW61" s="283"/>
      <c r="GX61" s="283"/>
      <c r="GY61" s="282"/>
      <c r="GZ61" s="283"/>
      <c r="HA61" s="283"/>
      <c r="HB61" s="283"/>
      <c r="HC61" s="282"/>
      <c r="HD61" s="283"/>
      <c r="HE61" s="283"/>
      <c r="HF61" s="284"/>
      <c r="HG61" s="285">
        <f t="shared" ref="HG61:HG66" si="22">sum(GB61:HF61)*FZ61</f>
        <v>0</v>
      </c>
      <c r="HH61" s="240"/>
      <c r="HI61" s="241"/>
      <c r="HJ61" s="35"/>
    </row>
    <row r="62" ht="15.0" customHeight="1">
      <c r="A62" s="54"/>
      <c r="B62" s="245"/>
      <c r="D62" s="286" t="s">
        <v>42</v>
      </c>
      <c r="E62" s="5"/>
      <c r="F62" s="5"/>
      <c r="G62" s="5"/>
      <c r="H62" s="5"/>
      <c r="I62" s="5"/>
      <c r="J62" s="5"/>
      <c r="K62" s="5"/>
      <c r="L62" s="5"/>
      <c r="M62" s="6"/>
      <c r="N62" s="276">
        <v>8.0</v>
      </c>
      <c r="O62" s="276">
        <v>5.0</v>
      </c>
      <c r="P62" s="276">
        <v>13.0</v>
      </c>
      <c r="Q62" s="276">
        <v>10.0</v>
      </c>
      <c r="R62" s="276"/>
      <c r="S62" s="276"/>
      <c r="T62" s="276"/>
      <c r="U62" s="276">
        <v>4.0</v>
      </c>
      <c r="V62" s="276">
        <v>7.0</v>
      </c>
      <c r="W62" s="276">
        <v>3.0</v>
      </c>
      <c r="X62" s="276">
        <v>1.0</v>
      </c>
      <c r="Y62" s="276"/>
      <c r="Z62" s="276">
        <v>4.0</v>
      </c>
      <c r="AA62" s="276">
        <v>3.0</v>
      </c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T62" s="287">
        <f>SUM(AX62:CO62)</f>
        <v>2500</v>
      </c>
      <c r="AU62" s="9"/>
      <c r="AV62" s="9"/>
      <c r="AW62" s="10"/>
      <c r="AX62" s="288">
        <f>(AX59*AX61)/100</f>
        <v>1250</v>
      </c>
      <c r="AY62" s="9"/>
      <c r="AZ62" s="10"/>
      <c r="BA62" s="288">
        <f>(BA59*BA61)/100</f>
        <v>1250</v>
      </c>
      <c r="BB62" s="9"/>
      <c r="BC62" s="10"/>
      <c r="BD62" s="288">
        <f>(BD59*BD61)/100</f>
        <v>0</v>
      </c>
      <c r="BE62" s="9"/>
      <c r="BF62" s="10"/>
      <c r="BG62" s="288">
        <f>(BG59*BG61)/100</f>
        <v>0</v>
      </c>
      <c r="BH62" s="9"/>
      <c r="BI62" s="10"/>
      <c r="BJ62" s="288">
        <f>(BJ59*BJ61)/100</f>
        <v>0</v>
      </c>
      <c r="BK62" s="9"/>
      <c r="BL62" s="10"/>
      <c r="BM62" s="288">
        <f>(BM59*BM61)/100</f>
        <v>0</v>
      </c>
      <c r="BN62" s="9"/>
      <c r="BO62" s="10"/>
      <c r="BP62" s="288">
        <f>(BP59*BP61)/100</f>
        <v>0</v>
      </c>
      <c r="BQ62" s="9"/>
      <c r="BR62" s="10"/>
      <c r="BS62" s="288">
        <f>(BS59*BS61)/100</f>
        <v>0</v>
      </c>
      <c r="BT62" s="9"/>
      <c r="BU62" s="10"/>
      <c r="BV62" s="288">
        <f>(BV59*BV61)/100</f>
        <v>0</v>
      </c>
      <c r="BW62" s="9"/>
      <c r="BX62" s="10"/>
      <c r="BY62" s="288">
        <f>(BY59*BY61)/100</f>
        <v>0</v>
      </c>
      <c r="BZ62" s="9"/>
      <c r="CA62" s="10"/>
      <c r="CB62" s="288">
        <f>(CB59*CB61)/100</f>
        <v>0</v>
      </c>
      <c r="CC62" s="9"/>
      <c r="CD62" s="10"/>
      <c r="CE62" s="288">
        <f>(CE59*CE61)/100</f>
        <v>0</v>
      </c>
      <c r="CF62" s="9"/>
      <c r="CG62" s="10"/>
      <c r="CH62" s="288">
        <f>(CH59*CH61)/100</f>
        <v>0</v>
      </c>
      <c r="CI62" s="9"/>
      <c r="CJ62" s="10"/>
      <c r="CK62" s="288">
        <f>(CK59*CK61)/100</f>
        <v>0</v>
      </c>
      <c r="CL62" s="9"/>
      <c r="CM62" s="10"/>
      <c r="CN62" s="288">
        <f>(CN59*CN61)/100</f>
        <v>0</v>
      </c>
      <c r="CO62" s="9"/>
      <c r="CP62" s="10"/>
      <c r="CQ62" s="220"/>
      <c r="CR62" s="249">
        <v>2500.0</v>
      </c>
      <c r="CS62" s="12"/>
      <c r="CT62" s="13"/>
      <c r="CU62" s="250" t="s">
        <v>43</v>
      </c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3"/>
      <c r="DH62" s="251">
        <f t="shared" si="18"/>
        <v>1</v>
      </c>
      <c r="DI62" s="12"/>
      <c r="DJ62" s="13"/>
      <c r="DK62" s="252">
        <v>1.0</v>
      </c>
      <c r="DL62" s="12"/>
      <c r="DM62" s="13"/>
      <c r="DN62" s="253">
        <f t="shared" si="19"/>
        <v>2500</v>
      </c>
      <c r="DO62" s="12"/>
      <c r="DP62" s="13"/>
      <c r="DQ62" s="251">
        <f t="shared" si="20"/>
        <v>1</v>
      </c>
      <c r="DR62" s="12"/>
      <c r="DS62" s="13"/>
      <c r="DT62" s="254">
        <f t="shared" si="21"/>
        <v>100</v>
      </c>
      <c r="DU62" s="12"/>
      <c r="DV62" s="13"/>
      <c r="DW62" s="255" t="str">
        <f>(DK62-DH62)/'График'!AK30</f>
        <v>#DIV/0!</v>
      </c>
      <c r="DX62" s="12"/>
      <c r="DY62" s="13"/>
      <c r="EA62" s="256" t="s">
        <v>44</v>
      </c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6"/>
      <c r="EO62" s="257">
        <f>DH61*100/DH59</f>
        <v>5.172413793</v>
      </c>
      <c r="EP62" s="16"/>
      <c r="EQ62" s="257">
        <f>((DH61*100/DH59)+EO44)/2</f>
        <v>4.252873563</v>
      </c>
      <c r="ER62" s="16"/>
      <c r="ET62" s="258" t="s">
        <v>45</v>
      </c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9"/>
      <c r="FJ62" s="259">
        <f>AT62</f>
        <v>2500</v>
      </c>
      <c r="FK62" s="18"/>
      <c r="FL62" s="19"/>
      <c r="FN62" s="280" t="s">
        <v>46</v>
      </c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2"/>
      <c r="FZ62" s="281">
        <v>200.0</v>
      </c>
      <c r="GA62" s="22"/>
      <c r="GB62" s="282"/>
      <c r="GC62" s="283"/>
      <c r="GD62" s="282"/>
      <c r="GE62" s="283"/>
      <c r="GF62" s="283"/>
      <c r="GG62" s="283"/>
      <c r="GH62" s="283"/>
      <c r="GI62" s="282"/>
      <c r="GJ62" s="283"/>
      <c r="GK62" s="283"/>
      <c r="GL62" s="283"/>
      <c r="GM62" s="283"/>
      <c r="GN62" s="283"/>
      <c r="GO62" s="283"/>
      <c r="GP62" s="283"/>
      <c r="GQ62" s="283"/>
      <c r="GR62" s="283"/>
      <c r="GS62" s="283"/>
      <c r="GT62" s="283"/>
      <c r="GU62" s="283"/>
      <c r="GV62" s="283"/>
      <c r="GW62" s="283"/>
      <c r="GX62" s="283"/>
      <c r="GY62" s="283"/>
      <c r="GZ62" s="283"/>
      <c r="HA62" s="283"/>
      <c r="HB62" s="283"/>
      <c r="HC62" s="283"/>
      <c r="HD62" s="283"/>
      <c r="HE62" s="283"/>
      <c r="HF62" s="289"/>
      <c r="HG62" s="290">
        <f t="shared" si="22"/>
        <v>0</v>
      </c>
      <c r="HH62" s="291"/>
      <c r="HI62" s="292"/>
      <c r="HJ62" s="35"/>
    </row>
    <row r="63" ht="15.0" customHeight="1">
      <c r="A63" s="54"/>
      <c r="B63" s="245"/>
      <c r="D63" s="293" t="s">
        <v>32</v>
      </c>
      <c r="E63" s="5"/>
      <c r="F63" s="5"/>
      <c r="G63" s="5"/>
      <c r="H63" s="5"/>
      <c r="I63" s="5"/>
      <c r="J63" s="5"/>
      <c r="K63" s="5"/>
      <c r="L63" s="5"/>
      <c r="M63" s="6"/>
      <c r="N63" s="276">
        <v>2.0</v>
      </c>
      <c r="O63" s="276">
        <v>0.0</v>
      </c>
      <c r="P63" s="276">
        <v>0.0</v>
      </c>
      <c r="Q63" s="276">
        <v>0.0</v>
      </c>
      <c r="R63" s="276"/>
      <c r="S63" s="276"/>
      <c r="T63" s="276"/>
      <c r="U63" s="276">
        <v>0.0</v>
      </c>
      <c r="V63" s="276">
        <v>0.0</v>
      </c>
      <c r="W63" s="276">
        <v>0.0</v>
      </c>
      <c r="X63" s="276">
        <v>0.0</v>
      </c>
      <c r="Y63" s="276"/>
      <c r="Z63" s="276">
        <v>0.0</v>
      </c>
      <c r="AA63" s="276">
        <v>1.0</v>
      </c>
      <c r="AB63" s="276"/>
      <c r="AC63" s="276"/>
      <c r="AD63" s="276"/>
      <c r="AE63" s="276"/>
      <c r="AF63" s="276"/>
      <c r="AG63" s="27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T63" s="277" t="s">
        <v>47</v>
      </c>
      <c r="AU63" s="9"/>
      <c r="AV63" s="10"/>
      <c r="AW63" s="278" t="s">
        <v>37</v>
      </c>
      <c r="AX63" s="279"/>
      <c r="AY63" s="9"/>
      <c r="AZ63" s="10"/>
      <c r="BA63" s="279">
        <v>5.0</v>
      </c>
      <c r="BB63" s="9"/>
      <c r="BC63" s="10"/>
      <c r="BD63" s="279">
        <v>5.0</v>
      </c>
      <c r="BE63" s="9"/>
      <c r="BF63" s="10"/>
      <c r="BG63" s="279">
        <v>5.0</v>
      </c>
      <c r="BH63" s="9"/>
      <c r="BI63" s="10"/>
      <c r="BJ63" s="279">
        <v>5.0</v>
      </c>
      <c r="BK63" s="9"/>
      <c r="BL63" s="10"/>
      <c r="BM63" s="279">
        <v>5.0</v>
      </c>
      <c r="BN63" s="9"/>
      <c r="BO63" s="10"/>
      <c r="BP63" s="279">
        <v>5.0</v>
      </c>
      <c r="BQ63" s="9"/>
      <c r="BR63" s="10"/>
      <c r="BS63" s="279">
        <v>5.0</v>
      </c>
      <c r="BT63" s="9"/>
      <c r="BU63" s="10"/>
      <c r="BV63" s="279">
        <v>5.0</v>
      </c>
      <c r="BW63" s="9"/>
      <c r="BX63" s="10"/>
      <c r="BY63" s="279">
        <v>5.0</v>
      </c>
      <c r="BZ63" s="9"/>
      <c r="CA63" s="10"/>
      <c r="CB63" s="279">
        <v>5.0</v>
      </c>
      <c r="CC63" s="9"/>
      <c r="CD63" s="10"/>
      <c r="CE63" s="279">
        <v>5.0</v>
      </c>
      <c r="CF63" s="9"/>
      <c r="CG63" s="10"/>
      <c r="CH63" s="279">
        <v>5.0</v>
      </c>
      <c r="CI63" s="9"/>
      <c r="CJ63" s="10"/>
      <c r="CK63" s="279">
        <v>5.0</v>
      </c>
      <c r="CL63" s="9"/>
      <c r="CM63" s="10"/>
      <c r="CN63" s="279">
        <v>5.0</v>
      </c>
      <c r="CO63" s="9"/>
      <c r="CP63" s="10"/>
      <c r="CQ63" s="220"/>
      <c r="CR63" s="249"/>
      <c r="CS63" s="12"/>
      <c r="CT63" s="13"/>
      <c r="CU63" s="268" t="s">
        <v>48</v>
      </c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3"/>
      <c r="DH63" s="251">
        <f t="shared" si="18"/>
        <v>1</v>
      </c>
      <c r="DI63" s="12"/>
      <c r="DJ63" s="13"/>
      <c r="DK63" s="252">
        <v>0.0</v>
      </c>
      <c r="DL63" s="12"/>
      <c r="DM63" s="13"/>
      <c r="DN63" s="253">
        <f t="shared" si="19"/>
        <v>0</v>
      </c>
      <c r="DO63" s="12"/>
      <c r="DP63" s="13"/>
      <c r="DQ63" s="251">
        <v>0.0</v>
      </c>
      <c r="DR63" s="12"/>
      <c r="DS63" s="13"/>
      <c r="DT63" s="254">
        <v>0.0</v>
      </c>
      <c r="DU63" s="12"/>
      <c r="DV63" s="13"/>
      <c r="DW63" s="255" t="str">
        <f>(DK63-DH63)/'График'!AK30</f>
        <v>#DIV/0!</v>
      </c>
      <c r="DX63" s="12"/>
      <c r="DY63" s="13"/>
      <c r="EA63" s="269" t="s">
        <v>49</v>
      </c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6"/>
      <c r="EO63" s="257">
        <f>DH62*100/DH59</f>
        <v>1.724137931</v>
      </c>
      <c r="EP63" s="16"/>
      <c r="EQ63" s="257">
        <f>((DH62*100/DH59)+EO45)/2</f>
        <v>0.8620689655</v>
      </c>
      <c r="ER63" s="16"/>
      <c r="ET63" s="258" t="s">
        <v>50</v>
      </c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9"/>
      <c r="FJ63" s="259">
        <f>AT64</f>
        <v>1250</v>
      </c>
      <c r="FK63" s="18"/>
      <c r="FL63" s="19"/>
      <c r="FN63" s="280" t="s">
        <v>51</v>
      </c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2"/>
      <c r="FZ63" s="281">
        <v>500.0</v>
      </c>
      <c r="GA63" s="22"/>
      <c r="GB63" s="282"/>
      <c r="GC63" s="283"/>
      <c r="GD63" s="283"/>
      <c r="GE63" s="283"/>
      <c r="GF63" s="283"/>
      <c r="GG63" s="283"/>
      <c r="GH63" s="283"/>
      <c r="GI63" s="282"/>
      <c r="GJ63" s="283"/>
      <c r="GK63" s="283"/>
      <c r="GL63" s="283"/>
      <c r="GM63" s="283"/>
      <c r="GN63" s="283"/>
      <c r="GO63" s="283"/>
      <c r="GP63" s="283"/>
      <c r="GQ63" s="283"/>
      <c r="GR63" s="283"/>
      <c r="GS63" s="283"/>
      <c r="GT63" s="283"/>
      <c r="GU63" s="283"/>
      <c r="GV63" s="283"/>
      <c r="GW63" s="283"/>
      <c r="GX63" s="283"/>
      <c r="GY63" s="283"/>
      <c r="GZ63" s="283"/>
      <c r="HA63" s="283"/>
      <c r="HB63" s="283"/>
      <c r="HC63" s="283"/>
      <c r="HD63" s="283"/>
      <c r="HE63" s="283"/>
      <c r="HF63" s="284"/>
      <c r="HG63" s="290">
        <f t="shared" si="22"/>
        <v>0</v>
      </c>
      <c r="HH63" s="291"/>
      <c r="HI63" s="292"/>
      <c r="HJ63" s="35"/>
    </row>
    <row r="64" ht="15.0" customHeight="1">
      <c r="A64" s="54"/>
      <c r="B64" s="245"/>
      <c r="D64" s="293" t="s">
        <v>38</v>
      </c>
      <c r="E64" s="5"/>
      <c r="F64" s="5"/>
      <c r="G64" s="5"/>
      <c r="H64" s="5"/>
      <c r="I64" s="5"/>
      <c r="J64" s="5"/>
      <c r="K64" s="5"/>
      <c r="L64" s="5"/>
      <c r="M64" s="6"/>
      <c r="N64" s="276">
        <v>0.0</v>
      </c>
      <c r="O64" s="276">
        <v>0.0</v>
      </c>
      <c r="P64" s="276">
        <v>0.0</v>
      </c>
      <c r="Q64" s="276">
        <v>0.0</v>
      </c>
      <c r="R64" s="276"/>
      <c r="S64" s="276"/>
      <c r="T64" s="276"/>
      <c r="U64" s="276">
        <v>1.0</v>
      </c>
      <c r="V64" s="276">
        <v>0.0</v>
      </c>
      <c r="W64" s="276">
        <v>0.0</v>
      </c>
      <c r="X64" s="276">
        <v>0.0</v>
      </c>
      <c r="Y64" s="276"/>
      <c r="Z64" s="276">
        <v>0.0</v>
      </c>
      <c r="AA64" s="276">
        <v>1.0</v>
      </c>
      <c r="AB64" s="276"/>
      <c r="AC64" s="276"/>
      <c r="AD64" s="276"/>
      <c r="AE64" s="276"/>
      <c r="AF64" s="276"/>
      <c r="AG64" s="276"/>
      <c r="AH64" s="276"/>
      <c r="AI64" s="276"/>
      <c r="AJ64" s="276"/>
      <c r="AK64" s="276">
        <v>1.0</v>
      </c>
      <c r="AL64" s="276"/>
      <c r="AM64" s="276"/>
      <c r="AN64" s="276"/>
      <c r="AO64" s="276"/>
      <c r="AP64" s="276"/>
      <c r="AQ64" s="276"/>
      <c r="AR64" s="276"/>
      <c r="AT64" s="287">
        <f>SUM(AX64:CO64)</f>
        <v>1250</v>
      </c>
      <c r="AU64" s="9"/>
      <c r="AV64" s="9"/>
      <c r="AW64" s="10"/>
      <c r="AX64" s="294">
        <f>(AX59*AX63)/100</f>
        <v>0</v>
      </c>
      <c r="AY64" s="9"/>
      <c r="AZ64" s="10"/>
      <c r="BA64" s="294">
        <f>(BA59*BA63)/100</f>
        <v>1250</v>
      </c>
      <c r="BB64" s="9"/>
      <c r="BC64" s="10"/>
      <c r="BD64" s="294">
        <f>(BD59*BD63)/100</f>
        <v>0</v>
      </c>
      <c r="BE64" s="9"/>
      <c r="BF64" s="10"/>
      <c r="BG64" s="294">
        <f>(BG59*BG63)/100</f>
        <v>0</v>
      </c>
      <c r="BH64" s="9"/>
      <c r="BI64" s="10"/>
      <c r="BJ64" s="294">
        <f>(BJ59*BJ63)/100</f>
        <v>0</v>
      </c>
      <c r="BK64" s="9"/>
      <c r="BL64" s="10"/>
      <c r="BM64" s="294">
        <f>(BM59*BM63)/100</f>
        <v>0</v>
      </c>
      <c r="BN64" s="9"/>
      <c r="BO64" s="10"/>
      <c r="BP64" s="294">
        <f>(BP59*BP63)/100</f>
        <v>0</v>
      </c>
      <c r="BQ64" s="9"/>
      <c r="BR64" s="10"/>
      <c r="BS64" s="294">
        <f>(BS59*BS63)/100</f>
        <v>0</v>
      </c>
      <c r="BT64" s="9"/>
      <c r="BU64" s="10"/>
      <c r="BV64" s="294">
        <f>(BV59*BV63)/100</f>
        <v>0</v>
      </c>
      <c r="BW64" s="9"/>
      <c r="BX64" s="10"/>
      <c r="BY64" s="294">
        <f>(BY59*BY63)/100</f>
        <v>0</v>
      </c>
      <c r="BZ64" s="9"/>
      <c r="CA64" s="10"/>
      <c r="CB64" s="294">
        <f>(CB59*CB63)/100</f>
        <v>0</v>
      </c>
      <c r="CC64" s="9"/>
      <c r="CD64" s="10"/>
      <c r="CE64" s="294">
        <f>(CE59*CE63)/100</f>
        <v>0</v>
      </c>
      <c r="CF64" s="9"/>
      <c r="CG64" s="10"/>
      <c r="CH64" s="294">
        <f>(CH59*CH63)/100</f>
        <v>0</v>
      </c>
      <c r="CI64" s="9"/>
      <c r="CJ64" s="10"/>
      <c r="CK64" s="294">
        <f>(CK59*CK63)/100</f>
        <v>0</v>
      </c>
      <c r="CL64" s="9"/>
      <c r="CM64" s="10"/>
      <c r="CN64" s="294">
        <f>(CN59*CN63)/100</f>
        <v>0</v>
      </c>
      <c r="CO64" s="9"/>
      <c r="CP64" s="10"/>
      <c r="CQ64" s="220"/>
      <c r="CR64" s="249">
        <v>2500.0</v>
      </c>
      <c r="CS64" s="12"/>
      <c r="CT64" s="13"/>
      <c r="CU64" s="268" t="s">
        <v>95</v>
      </c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3"/>
      <c r="DH64" s="253">
        <f>SUM(O67:AR67)</f>
        <v>25000</v>
      </c>
      <c r="DI64" s="12"/>
      <c r="DJ64" s="13"/>
      <c r="DK64" s="295">
        <v>25000.0</v>
      </c>
      <c r="DL64" s="12"/>
      <c r="DM64" s="13"/>
      <c r="DN64" s="253">
        <f t="shared" si="19"/>
        <v>2500</v>
      </c>
      <c r="DO64" s="12"/>
      <c r="DP64" s="13"/>
      <c r="DQ64" s="296">
        <f t="shared" ref="DQ64:DQ70" si="23">IF(DH64&lt;DK64,DH64,IF(DH64&gt;=DK64,DK64))</f>
        <v>25000</v>
      </c>
      <c r="DR64" s="12"/>
      <c r="DS64" s="13"/>
      <c r="DT64" s="254">
        <f>DQ64*100/DK64</f>
        <v>100</v>
      </c>
      <c r="DU64" s="12"/>
      <c r="DV64" s="13"/>
      <c r="DW64" s="255" t="str">
        <f>(DK64-DH64)/'График'!AK30</f>
        <v>#DIV/0!</v>
      </c>
      <c r="DX64" s="12"/>
      <c r="DY64" s="13"/>
      <c r="EA64" s="256" t="s">
        <v>96</v>
      </c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6"/>
      <c r="EO64" s="257">
        <f>DH61*100/DH60</f>
        <v>100</v>
      </c>
      <c r="EP64" s="16"/>
      <c r="EQ64" s="257">
        <f>((DH61*100/DH60)+EO46)/2</f>
        <v>91.66666667</v>
      </c>
      <c r="ER64" s="16"/>
      <c r="ET64" s="258" t="s">
        <v>97</v>
      </c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9"/>
      <c r="FJ64" s="259">
        <f>if(FJ60&gt;79,DH64*15%,if(FJ60&lt;80,DH64*5%))</f>
        <v>3750</v>
      </c>
      <c r="FK64" s="18"/>
      <c r="FL64" s="19"/>
      <c r="FN64" s="280" t="s">
        <v>55</v>
      </c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2"/>
      <c r="FZ64" s="281">
        <v>800.0</v>
      </c>
      <c r="GA64" s="22"/>
      <c r="GB64" s="282"/>
      <c r="GC64" s="282"/>
      <c r="GD64" s="283"/>
      <c r="GE64" s="282"/>
      <c r="GF64" s="282"/>
      <c r="GG64" s="282"/>
      <c r="GH64" s="282"/>
      <c r="GI64" s="282"/>
      <c r="GJ64" s="282"/>
      <c r="GK64" s="283"/>
      <c r="GL64" s="283"/>
      <c r="GM64" s="282"/>
      <c r="GN64" s="283"/>
      <c r="GO64" s="283"/>
      <c r="GP64" s="283"/>
      <c r="GQ64" s="283"/>
      <c r="GR64" s="283"/>
      <c r="GS64" s="283"/>
      <c r="GT64" s="283"/>
      <c r="GU64" s="283"/>
      <c r="GV64" s="283"/>
      <c r="GW64" s="283"/>
      <c r="GX64" s="283"/>
      <c r="GY64" s="283"/>
      <c r="GZ64" s="283"/>
      <c r="HA64" s="283"/>
      <c r="HB64" s="283"/>
      <c r="HC64" s="283"/>
      <c r="HD64" s="283"/>
      <c r="HE64" s="283"/>
      <c r="HF64" s="284"/>
      <c r="HG64" s="290">
        <f t="shared" si="22"/>
        <v>0</v>
      </c>
      <c r="HH64" s="291"/>
      <c r="HI64" s="292"/>
      <c r="HJ64" s="35"/>
    </row>
    <row r="65" ht="15.0" customHeight="1">
      <c r="A65" s="54"/>
      <c r="B65" s="245"/>
      <c r="D65" s="275" t="s">
        <v>43</v>
      </c>
      <c r="E65" s="5"/>
      <c r="F65" s="5"/>
      <c r="G65" s="5"/>
      <c r="H65" s="5"/>
      <c r="I65" s="5"/>
      <c r="J65" s="5"/>
      <c r="K65" s="5"/>
      <c r="L65" s="5"/>
      <c r="M65" s="6"/>
      <c r="N65" s="276">
        <v>0.0</v>
      </c>
      <c r="O65" s="276">
        <v>0.0</v>
      </c>
      <c r="P65" s="276">
        <v>0.0</v>
      </c>
      <c r="Q65" s="276">
        <v>0.0</v>
      </c>
      <c r="R65" s="276"/>
      <c r="S65" s="276"/>
      <c r="T65" s="276"/>
      <c r="U65" s="276">
        <v>0.0</v>
      </c>
      <c r="V65" s="276">
        <v>0.0</v>
      </c>
      <c r="W65" s="276">
        <v>0.0</v>
      </c>
      <c r="X65" s="276">
        <v>0.0</v>
      </c>
      <c r="Y65" s="276"/>
      <c r="Z65" s="276">
        <v>0.0</v>
      </c>
      <c r="AA65" s="276">
        <v>0.0</v>
      </c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276"/>
      <c r="AO65" s="276">
        <v>1.0</v>
      </c>
      <c r="AP65" s="276"/>
      <c r="AQ65" s="276"/>
      <c r="AR65" s="276"/>
      <c r="AT65" s="297"/>
      <c r="AU65" s="297"/>
      <c r="AV65" s="297"/>
      <c r="AW65" s="297"/>
      <c r="AX65" s="297"/>
      <c r="AY65" s="297"/>
      <c r="AZ65" s="297"/>
      <c r="BA65" s="297"/>
      <c r="BB65" s="297"/>
      <c r="BC65" s="297"/>
      <c r="BD65" s="297"/>
      <c r="BE65" s="297"/>
      <c r="BF65" s="297"/>
      <c r="BG65" s="297"/>
      <c r="BH65" s="297"/>
      <c r="BI65" s="297"/>
      <c r="BJ65" s="297"/>
      <c r="BK65" s="297"/>
      <c r="BL65" s="297"/>
      <c r="BM65" s="297"/>
      <c r="BN65" s="297"/>
      <c r="BO65" s="297"/>
      <c r="BP65" s="297"/>
      <c r="BQ65" s="297"/>
      <c r="BR65" s="297"/>
      <c r="BS65" s="297"/>
      <c r="BT65" s="297"/>
      <c r="BU65" s="297"/>
      <c r="BV65" s="297"/>
      <c r="BW65" s="297"/>
      <c r="BX65" s="297"/>
      <c r="BY65" s="297"/>
      <c r="BZ65" s="297"/>
      <c r="CA65" s="297"/>
      <c r="CB65" s="297"/>
      <c r="CC65" s="297"/>
      <c r="CD65" s="297"/>
      <c r="CE65" s="297"/>
      <c r="CF65" s="297"/>
      <c r="CG65" s="297"/>
      <c r="CH65" s="297"/>
      <c r="CI65" s="297"/>
      <c r="CJ65" s="297"/>
      <c r="CK65" s="297"/>
      <c r="CL65" s="297"/>
      <c r="CM65" s="297"/>
      <c r="CN65" s="297"/>
      <c r="CO65" s="297"/>
      <c r="CP65" s="297"/>
      <c r="CQ65" s="220"/>
      <c r="CR65" s="249">
        <v>10000.0</v>
      </c>
      <c r="CS65" s="12"/>
      <c r="CT65" s="13"/>
      <c r="CU65" s="298" t="s">
        <v>98</v>
      </c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23"/>
      <c r="DH65" s="299">
        <f>sum(DH64+'Александр'!BI64)</f>
        <v>25000</v>
      </c>
      <c r="DI65" s="24"/>
      <c r="DJ65" s="223"/>
      <c r="DK65" s="300">
        <v>70000.0</v>
      </c>
      <c r="DL65" s="12"/>
      <c r="DM65" s="13"/>
      <c r="DN65" s="253">
        <f t="shared" si="19"/>
        <v>3571.428571</v>
      </c>
      <c r="DO65" s="12"/>
      <c r="DP65" s="13"/>
      <c r="DQ65" s="296">
        <f t="shared" si="23"/>
        <v>25000</v>
      </c>
      <c r="DR65" s="12"/>
      <c r="DS65" s="13"/>
      <c r="DT65" s="301">
        <f t="shared" ref="DT65:DT70" si="24">DH65*100/DK65</f>
        <v>35.71428571</v>
      </c>
      <c r="DU65" s="12"/>
      <c r="DV65" s="13"/>
      <c r="DW65" s="302" t="str">
        <f>(DK65-DH65)/'График'!AK30</f>
        <v>#DIV/0!</v>
      </c>
      <c r="DX65" s="12"/>
      <c r="DY65" s="13"/>
      <c r="DZ65" s="59"/>
      <c r="EA65" s="256" t="s">
        <v>58</v>
      </c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6"/>
      <c r="EO65" s="257">
        <f>DH62*100/DH60</f>
        <v>33.33333333</v>
      </c>
      <c r="EP65" s="16"/>
      <c r="EQ65" s="257">
        <f>((DH62*100/DH60)+EO47)/2</f>
        <v>16.66666667</v>
      </c>
      <c r="ER65" s="16"/>
      <c r="ES65" s="59"/>
      <c r="ET65" s="258" t="s">
        <v>99</v>
      </c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9"/>
      <c r="FJ65" s="259">
        <f>if(FJ60&gt;79,DH64*15%,if(FJ60&lt;80,DH64*5%))+FJ59+FJ61+FJ62+FJ63</f>
        <v>24500</v>
      </c>
      <c r="FK65" s="18"/>
      <c r="FL65" s="19"/>
      <c r="FN65" s="280" t="s">
        <v>60</v>
      </c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2"/>
      <c r="FZ65" s="281">
        <v>1500.0</v>
      </c>
      <c r="GA65" s="22"/>
      <c r="GB65" s="283"/>
      <c r="GC65" s="283"/>
      <c r="GD65" s="283"/>
      <c r="GE65" s="283"/>
      <c r="GF65" s="283"/>
      <c r="GG65" s="283"/>
      <c r="GH65" s="283"/>
      <c r="GI65" s="282"/>
      <c r="GJ65" s="282"/>
      <c r="GK65" s="283"/>
      <c r="GL65" s="282"/>
      <c r="GM65" s="282"/>
      <c r="GN65" s="282"/>
      <c r="GO65" s="283"/>
      <c r="GP65" s="283"/>
      <c r="GQ65" s="283"/>
      <c r="GR65" s="283"/>
      <c r="GS65" s="283"/>
      <c r="GT65" s="283"/>
      <c r="GU65" s="283"/>
      <c r="GV65" s="283"/>
      <c r="GW65" s="283"/>
      <c r="GX65" s="283"/>
      <c r="GY65" s="283"/>
      <c r="GZ65" s="283"/>
      <c r="HA65" s="282"/>
      <c r="HB65" s="283"/>
      <c r="HC65" s="283"/>
      <c r="HD65" s="283"/>
      <c r="HE65" s="283"/>
      <c r="HF65" s="284"/>
      <c r="HG65" s="290">
        <f t="shared" si="22"/>
        <v>0</v>
      </c>
      <c r="HH65" s="291"/>
      <c r="HI65" s="292"/>
      <c r="HJ65" s="35"/>
    </row>
    <row r="66" ht="15.0" customHeight="1">
      <c r="A66" s="54"/>
      <c r="B66" s="245"/>
      <c r="D66" s="293" t="s">
        <v>48</v>
      </c>
      <c r="E66" s="5"/>
      <c r="F66" s="5"/>
      <c r="G66" s="5"/>
      <c r="H66" s="5"/>
      <c r="I66" s="5"/>
      <c r="J66" s="5"/>
      <c r="K66" s="5"/>
      <c r="L66" s="5"/>
      <c r="M66" s="6"/>
      <c r="N66" s="276">
        <v>0.0</v>
      </c>
      <c r="O66" s="276">
        <v>0.0</v>
      </c>
      <c r="P66" s="276">
        <v>0.0</v>
      </c>
      <c r="Q66" s="276">
        <v>0.0</v>
      </c>
      <c r="R66" s="276"/>
      <c r="S66" s="276"/>
      <c r="T66" s="276"/>
      <c r="U66" s="276">
        <v>0.0</v>
      </c>
      <c r="V66" s="276">
        <v>0.0</v>
      </c>
      <c r="W66" s="276">
        <v>0.0</v>
      </c>
      <c r="X66" s="276">
        <v>0.0</v>
      </c>
      <c r="Y66" s="276"/>
      <c r="Z66" s="276">
        <v>0.0</v>
      </c>
      <c r="AA66" s="276">
        <v>0.0</v>
      </c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>
        <v>1.0</v>
      </c>
      <c r="AP66" s="276"/>
      <c r="AQ66" s="276"/>
      <c r="AR66" s="276"/>
      <c r="AT66" s="303" t="s">
        <v>56</v>
      </c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10"/>
      <c r="CQ66" s="220"/>
      <c r="CR66" s="249"/>
      <c r="CS66" s="12"/>
      <c r="CT66" s="13"/>
      <c r="CU66" s="298" t="s">
        <v>100</v>
      </c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23"/>
      <c r="DH66" s="299">
        <f>sum(AX69:CP69)</f>
        <v>30000</v>
      </c>
      <c r="DI66" s="24"/>
      <c r="DJ66" s="223"/>
      <c r="DK66" s="300">
        <v>0.0</v>
      </c>
      <c r="DL66" s="12"/>
      <c r="DM66" s="13"/>
      <c r="DN66" s="253" t="str">
        <f t="shared" si="19"/>
        <v>#DIV/0!</v>
      </c>
      <c r="DO66" s="12"/>
      <c r="DP66" s="13"/>
      <c r="DQ66" s="296">
        <f t="shared" si="23"/>
        <v>0</v>
      </c>
      <c r="DR66" s="12"/>
      <c r="DS66" s="13"/>
      <c r="DT66" s="301" t="str">
        <f t="shared" si="24"/>
        <v>#DIV/0!</v>
      </c>
      <c r="DU66" s="12"/>
      <c r="DV66" s="13"/>
      <c r="DW66" s="255" t="str">
        <f>(DK66-DH66)/'График'!AK30</f>
        <v>#DIV/0!</v>
      </c>
      <c r="DX66" s="12"/>
      <c r="DY66" s="13"/>
      <c r="DZ66" s="304"/>
      <c r="EA66" s="256" t="s">
        <v>71</v>
      </c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6"/>
      <c r="EO66" s="257">
        <f>DH62*100/DH61</f>
        <v>33.33333333</v>
      </c>
      <c r="EP66" s="16"/>
      <c r="EQ66" s="257">
        <f>((DH62*100/DH61)+EO48)/2</f>
        <v>16.66666667</v>
      </c>
      <c r="ER66" s="16"/>
      <c r="ES66" s="220"/>
      <c r="ET66" s="305" t="s">
        <v>24</v>
      </c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9"/>
      <c r="FJ66" s="306">
        <f>if(DH65&gt;=DK65,FJ65+CR65,if(DH65&lt;DK65,FJ65))-HG67</f>
        <v>24500</v>
      </c>
      <c r="FK66" s="18"/>
      <c r="FL66" s="19"/>
      <c r="FM66" s="59"/>
      <c r="FN66" s="307" t="s">
        <v>72</v>
      </c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2"/>
      <c r="FZ66" s="281">
        <v>1000.0</v>
      </c>
      <c r="GA66" s="22"/>
      <c r="GB66" s="308"/>
      <c r="GC66" s="309"/>
      <c r="GD66" s="308"/>
      <c r="GE66" s="308"/>
      <c r="GF66" s="308"/>
      <c r="GG66" s="308"/>
      <c r="GH66" s="309"/>
      <c r="GI66" s="308"/>
      <c r="GJ66" s="308"/>
      <c r="GK66" s="308"/>
      <c r="GL66" s="309"/>
      <c r="GM66" s="308"/>
      <c r="GN66" s="309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10"/>
      <c r="HF66" s="311"/>
      <c r="HG66" s="290">
        <f t="shared" si="22"/>
        <v>0</v>
      </c>
      <c r="HH66" s="291"/>
      <c r="HI66" s="292"/>
      <c r="HJ66" s="35"/>
    </row>
    <row r="67" ht="15.0" customHeight="1">
      <c r="A67" s="54"/>
      <c r="B67" s="245"/>
      <c r="D67" s="312" t="s">
        <v>52</v>
      </c>
      <c r="E67" s="27"/>
      <c r="F67" s="27"/>
      <c r="G67" s="27"/>
      <c r="H67" s="27"/>
      <c r="I67" s="27"/>
      <c r="J67" s="27"/>
      <c r="K67" s="27"/>
      <c r="L67" s="27"/>
      <c r="M67" s="28"/>
      <c r="N67" s="313">
        <v>0.0</v>
      </c>
      <c r="O67" s="313">
        <v>0.0</v>
      </c>
      <c r="P67" s="313">
        <v>0.0</v>
      </c>
      <c r="Q67" s="313">
        <v>0.0</v>
      </c>
      <c r="R67" s="313"/>
      <c r="S67" s="313"/>
      <c r="T67" s="313"/>
      <c r="U67" s="313">
        <v>0.0</v>
      </c>
      <c r="V67" s="313">
        <v>0.0</v>
      </c>
      <c r="W67" s="313">
        <v>0.0</v>
      </c>
      <c r="X67" s="313">
        <v>0.0</v>
      </c>
      <c r="Y67" s="313"/>
      <c r="Z67" s="313">
        <v>0.0</v>
      </c>
      <c r="AA67" s="313">
        <v>0.0</v>
      </c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13"/>
      <c r="AN67" s="313"/>
      <c r="AO67" s="313">
        <v>25000.0</v>
      </c>
      <c r="AP67" s="313"/>
      <c r="AQ67" s="313"/>
      <c r="AR67" s="313"/>
      <c r="AT67" s="227" t="s">
        <v>9</v>
      </c>
      <c r="AU67" s="228"/>
      <c r="AV67" s="228"/>
      <c r="AW67" s="229"/>
      <c r="AX67" s="314" t="s">
        <v>109</v>
      </c>
      <c r="AY67" s="228"/>
      <c r="AZ67" s="229"/>
      <c r="BA67" s="314" t="s">
        <v>110</v>
      </c>
      <c r="BB67" s="228"/>
      <c r="BC67" s="229"/>
      <c r="BD67" s="314" t="s">
        <v>111</v>
      </c>
      <c r="BE67" s="228"/>
      <c r="BF67" s="229"/>
      <c r="BG67" s="314"/>
      <c r="BH67" s="228"/>
      <c r="BI67" s="229"/>
      <c r="BJ67" s="314" t="s">
        <v>69</v>
      </c>
      <c r="BK67" s="228"/>
      <c r="BL67" s="229"/>
      <c r="BM67" s="314" t="s">
        <v>69</v>
      </c>
      <c r="BN67" s="228"/>
      <c r="BO67" s="229"/>
      <c r="BP67" s="314" t="s">
        <v>69</v>
      </c>
      <c r="BQ67" s="228"/>
      <c r="BR67" s="229"/>
      <c r="BS67" s="314" t="s">
        <v>69</v>
      </c>
      <c r="BT67" s="228"/>
      <c r="BU67" s="229"/>
      <c r="BV67" s="314" t="s">
        <v>69</v>
      </c>
      <c r="BW67" s="228"/>
      <c r="BX67" s="229"/>
      <c r="BY67" s="314" t="s">
        <v>69</v>
      </c>
      <c r="BZ67" s="228"/>
      <c r="CA67" s="229"/>
      <c r="CB67" s="314" t="s">
        <v>69</v>
      </c>
      <c r="CC67" s="228"/>
      <c r="CD67" s="229"/>
      <c r="CE67" s="314" t="s">
        <v>69</v>
      </c>
      <c r="CF67" s="228"/>
      <c r="CG67" s="229"/>
      <c r="CH67" s="314" t="s">
        <v>69</v>
      </c>
      <c r="CI67" s="228"/>
      <c r="CJ67" s="229"/>
      <c r="CK67" s="314" t="s">
        <v>69</v>
      </c>
      <c r="CL67" s="228"/>
      <c r="CM67" s="229"/>
      <c r="CN67" s="314" t="s">
        <v>69</v>
      </c>
      <c r="CO67" s="228"/>
      <c r="CP67" s="229"/>
      <c r="CQ67" s="220"/>
      <c r="CR67" s="249"/>
      <c r="CS67" s="12"/>
      <c r="CT67" s="13"/>
      <c r="CU67" s="298" t="s">
        <v>105</v>
      </c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23"/>
      <c r="DH67" s="299">
        <f>sum(DH64+DH66)</f>
        <v>55000</v>
      </c>
      <c r="DI67" s="24"/>
      <c r="DJ67" s="223"/>
      <c r="DK67" s="300">
        <v>0.0</v>
      </c>
      <c r="DL67" s="12"/>
      <c r="DM67" s="13"/>
      <c r="DN67" s="253" t="str">
        <f t="shared" si="19"/>
        <v>#DIV/0!</v>
      </c>
      <c r="DO67" s="12"/>
      <c r="DP67" s="13"/>
      <c r="DQ67" s="296">
        <f t="shared" si="23"/>
        <v>0</v>
      </c>
      <c r="DR67" s="12"/>
      <c r="DS67" s="13"/>
      <c r="DT67" s="301" t="str">
        <f t="shared" si="24"/>
        <v>#DIV/0!</v>
      </c>
      <c r="DU67" s="12"/>
      <c r="DV67" s="13"/>
      <c r="DW67" s="255" t="str">
        <f>(DK67-DH67)/'График'!AK30</f>
        <v>#DIV/0!</v>
      </c>
      <c r="DX67" s="12"/>
      <c r="DY67" s="13"/>
      <c r="DZ67" s="315"/>
      <c r="EA67" s="316"/>
      <c r="EB67" s="316"/>
      <c r="EC67" s="316"/>
      <c r="ED67" s="316"/>
      <c r="EE67" s="316"/>
      <c r="EF67" s="316"/>
      <c r="EG67" s="316"/>
      <c r="EH67" s="316"/>
      <c r="EI67" s="316"/>
      <c r="EJ67" s="316"/>
      <c r="EK67" s="316"/>
      <c r="EL67" s="316"/>
      <c r="EM67" s="316"/>
      <c r="EN67" s="316"/>
      <c r="EO67" s="316"/>
      <c r="EP67" s="316"/>
      <c r="EQ67" s="316"/>
      <c r="ER67" s="316"/>
      <c r="ES67" s="317"/>
      <c r="ET67" s="318"/>
      <c r="EU67" s="318"/>
      <c r="EV67" s="318"/>
      <c r="EW67" s="318"/>
      <c r="EX67" s="318"/>
      <c r="EY67" s="318"/>
      <c r="EZ67" s="318"/>
      <c r="FA67" s="318"/>
      <c r="FB67" s="318"/>
      <c r="FC67" s="318"/>
      <c r="FD67" s="318"/>
      <c r="FE67" s="318"/>
      <c r="FF67" s="318"/>
      <c r="FG67" s="318"/>
      <c r="FH67" s="319"/>
      <c r="FI67" s="320"/>
      <c r="FJ67" s="321"/>
      <c r="FK67" s="322"/>
      <c r="FL67" s="320"/>
      <c r="FM67" s="317"/>
      <c r="FN67" s="316"/>
      <c r="FO67" s="316"/>
      <c r="FP67" s="316"/>
      <c r="FQ67" s="316"/>
      <c r="FR67" s="316"/>
      <c r="FS67" s="316"/>
      <c r="FT67" s="316"/>
      <c r="FU67" s="316"/>
      <c r="FV67" s="316"/>
      <c r="FW67" s="316"/>
      <c r="FX67" s="316"/>
      <c r="FY67" s="316"/>
      <c r="FZ67" s="316"/>
      <c r="GA67" s="316"/>
      <c r="GB67" s="316"/>
      <c r="GC67" s="316"/>
      <c r="GD67" s="316"/>
      <c r="GE67" s="316"/>
      <c r="GF67" s="316"/>
      <c r="GG67" s="316"/>
      <c r="GH67" s="316"/>
      <c r="GI67" s="316"/>
      <c r="GJ67" s="316"/>
      <c r="GK67" s="316"/>
      <c r="GL67" s="316"/>
      <c r="GM67" s="316"/>
      <c r="GN67" s="316"/>
      <c r="GO67" s="316"/>
      <c r="GP67" s="316"/>
      <c r="GQ67" s="316"/>
      <c r="GR67" s="316"/>
      <c r="GS67" s="316"/>
      <c r="GT67" s="316"/>
      <c r="GU67" s="316"/>
      <c r="GV67" s="316"/>
      <c r="GW67" s="316"/>
      <c r="GX67" s="316"/>
      <c r="GY67" s="316"/>
      <c r="GZ67" s="316"/>
      <c r="HA67" s="316"/>
      <c r="HB67" s="316"/>
      <c r="HC67" s="316"/>
      <c r="HD67" s="323"/>
      <c r="HE67" s="324" t="s">
        <v>24</v>
      </c>
      <c r="HF67" s="22"/>
      <c r="HG67" s="325">
        <f>sum(HG61:HG66)</f>
        <v>0</v>
      </c>
      <c r="HH67" s="326"/>
      <c r="HI67" s="327"/>
      <c r="HJ67" s="60"/>
    </row>
    <row r="68" ht="15.0" customHeight="1">
      <c r="A68" s="54"/>
      <c r="B68" s="245"/>
      <c r="D68" s="55"/>
      <c r="M68" s="33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T68" s="246"/>
      <c r="AU68" s="247"/>
      <c r="AV68" s="247"/>
      <c r="AW68" s="248"/>
      <c r="AX68" s="246"/>
      <c r="AY68" s="247"/>
      <c r="AZ68" s="248"/>
      <c r="BA68" s="246"/>
      <c r="BB68" s="247"/>
      <c r="BC68" s="248"/>
      <c r="BD68" s="246"/>
      <c r="BE68" s="247"/>
      <c r="BF68" s="248"/>
      <c r="BG68" s="246"/>
      <c r="BH68" s="247"/>
      <c r="BI68" s="248"/>
      <c r="BJ68" s="246"/>
      <c r="BK68" s="247"/>
      <c r="BL68" s="248"/>
      <c r="BM68" s="246"/>
      <c r="BN68" s="247"/>
      <c r="BO68" s="248"/>
      <c r="BP68" s="246"/>
      <c r="BQ68" s="247"/>
      <c r="BR68" s="248"/>
      <c r="BS68" s="246"/>
      <c r="BT68" s="247"/>
      <c r="BU68" s="248"/>
      <c r="BV68" s="246"/>
      <c r="BW68" s="247"/>
      <c r="BX68" s="248"/>
      <c r="BY68" s="246"/>
      <c r="BZ68" s="247"/>
      <c r="CA68" s="248"/>
      <c r="CB68" s="246"/>
      <c r="CC68" s="247"/>
      <c r="CD68" s="248"/>
      <c r="CE68" s="246"/>
      <c r="CF68" s="247"/>
      <c r="CG68" s="248"/>
      <c r="CH68" s="246"/>
      <c r="CI68" s="247"/>
      <c r="CJ68" s="248"/>
      <c r="CK68" s="246"/>
      <c r="CL68" s="247"/>
      <c r="CM68" s="248"/>
      <c r="CN68" s="246"/>
      <c r="CO68" s="247"/>
      <c r="CP68" s="248"/>
      <c r="CQ68" s="220"/>
      <c r="CR68" s="249"/>
      <c r="CS68" s="12"/>
      <c r="CT68" s="13"/>
      <c r="CU68" s="328" t="s">
        <v>73</v>
      </c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23"/>
      <c r="DH68" s="299">
        <f>DH64/DH62</f>
        <v>25000</v>
      </c>
      <c r="DI68" s="24"/>
      <c r="DJ68" s="223"/>
      <c r="DK68" s="300">
        <v>25000.0</v>
      </c>
      <c r="DL68" s="12"/>
      <c r="DM68" s="13"/>
      <c r="DN68" s="253">
        <f t="shared" si="19"/>
        <v>0</v>
      </c>
      <c r="DO68" s="12"/>
      <c r="DP68" s="13"/>
      <c r="DQ68" s="296">
        <f t="shared" si="23"/>
        <v>25000</v>
      </c>
      <c r="DR68" s="12"/>
      <c r="DS68" s="13"/>
      <c r="DT68" s="301">
        <f t="shared" si="24"/>
        <v>100</v>
      </c>
      <c r="DU68" s="12"/>
      <c r="DV68" s="13"/>
      <c r="DW68" s="255" t="str">
        <f>(DK68-DH68)/'График'!AK30</f>
        <v>#DIV/0!</v>
      </c>
      <c r="DX68" s="12"/>
      <c r="DY68" s="13"/>
      <c r="DZ68" s="315"/>
      <c r="EA68" s="317"/>
      <c r="EB68" s="317"/>
      <c r="EC68" s="317"/>
      <c r="ED68" s="317"/>
      <c r="EE68" s="317"/>
      <c r="EF68" s="317"/>
      <c r="EG68" s="317"/>
      <c r="EH68" s="317"/>
      <c r="EI68" s="317"/>
      <c r="EJ68" s="317"/>
      <c r="EK68" s="317"/>
      <c r="EL68" s="317"/>
      <c r="EM68" s="317"/>
      <c r="EN68" s="317"/>
      <c r="EO68" s="317"/>
      <c r="EP68" s="317"/>
      <c r="EQ68" s="317"/>
      <c r="ER68" s="317"/>
      <c r="ES68" s="317"/>
      <c r="ET68" s="317"/>
      <c r="EU68" s="317"/>
      <c r="EV68" s="317"/>
      <c r="EW68" s="317"/>
      <c r="EX68" s="317"/>
      <c r="EY68" s="317"/>
      <c r="EZ68" s="317"/>
      <c r="FA68" s="317"/>
      <c r="FB68" s="317"/>
      <c r="FC68" s="317"/>
      <c r="FD68" s="317"/>
      <c r="FE68" s="317"/>
      <c r="FF68" s="317"/>
      <c r="FG68" s="317"/>
      <c r="FH68" s="317"/>
      <c r="FI68" s="317"/>
      <c r="FJ68" s="317"/>
      <c r="FK68" s="317"/>
      <c r="FL68" s="317"/>
      <c r="FM68" s="317"/>
      <c r="FN68" s="317"/>
      <c r="FO68" s="317"/>
      <c r="FP68" s="317"/>
      <c r="FQ68" s="317"/>
      <c r="FR68" s="317"/>
      <c r="FS68" s="317"/>
      <c r="FT68" s="317"/>
      <c r="FU68" s="317"/>
      <c r="FV68" s="317"/>
      <c r="FW68" s="317"/>
      <c r="FX68" s="317"/>
      <c r="FY68" s="317"/>
      <c r="FZ68" s="317"/>
      <c r="GA68" s="317"/>
      <c r="GB68" s="317"/>
      <c r="GC68" s="317"/>
      <c r="GD68" s="317"/>
      <c r="GE68" s="317"/>
      <c r="GF68" s="317"/>
      <c r="GG68" s="317"/>
      <c r="GH68" s="317"/>
      <c r="GI68" s="317"/>
      <c r="GJ68" s="317"/>
      <c r="GK68" s="317"/>
      <c r="GL68" s="317"/>
      <c r="GM68" s="317"/>
      <c r="GN68" s="317"/>
      <c r="GO68" s="317"/>
      <c r="GP68" s="317"/>
      <c r="GQ68" s="317"/>
      <c r="GR68" s="317"/>
      <c r="GS68" s="317"/>
      <c r="GT68" s="317"/>
      <c r="GU68" s="317"/>
      <c r="GV68" s="317"/>
      <c r="GW68" s="317"/>
      <c r="GX68" s="317"/>
      <c r="GY68" s="317"/>
      <c r="GZ68" s="317"/>
      <c r="HA68" s="317"/>
      <c r="HB68" s="317"/>
      <c r="HC68" s="317"/>
      <c r="HD68" s="317"/>
      <c r="HE68" s="316"/>
      <c r="HF68" s="316"/>
      <c r="HG68" s="316"/>
      <c r="HH68" s="316"/>
      <c r="HI68" s="316"/>
      <c r="HJ68" s="317"/>
    </row>
    <row r="69" ht="15.0" customHeight="1">
      <c r="A69" s="54"/>
      <c r="B69" s="245"/>
      <c r="D69" s="55"/>
      <c r="M69" s="33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T69" s="263" t="s">
        <v>21</v>
      </c>
      <c r="AU69" s="9"/>
      <c r="AV69" s="9"/>
      <c r="AW69" s="10"/>
      <c r="AX69" s="329">
        <v>10000.0</v>
      </c>
      <c r="AY69" s="9"/>
      <c r="AZ69" s="10"/>
      <c r="BA69" s="329">
        <v>10000.0</v>
      </c>
      <c r="BB69" s="9"/>
      <c r="BC69" s="10"/>
      <c r="BD69" s="329">
        <v>10000.0</v>
      </c>
      <c r="BE69" s="9"/>
      <c r="BF69" s="10"/>
      <c r="BG69" s="329"/>
      <c r="BH69" s="9"/>
      <c r="BI69" s="10"/>
      <c r="BJ69" s="329"/>
      <c r="BK69" s="9"/>
      <c r="BL69" s="10"/>
      <c r="BM69" s="329"/>
      <c r="BN69" s="9"/>
      <c r="BO69" s="10"/>
      <c r="BP69" s="329"/>
      <c r="BQ69" s="9"/>
      <c r="BR69" s="10"/>
      <c r="BS69" s="329"/>
      <c r="BT69" s="9"/>
      <c r="BU69" s="10"/>
      <c r="BV69" s="329"/>
      <c r="BW69" s="9"/>
      <c r="BX69" s="10"/>
      <c r="BY69" s="329"/>
      <c r="BZ69" s="9"/>
      <c r="CA69" s="10"/>
      <c r="CB69" s="329"/>
      <c r="CC69" s="9"/>
      <c r="CD69" s="10"/>
      <c r="CE69" s="329"/>
      <c r="CF69" s="9"/>
      <c r="CG69" s="10"/>
      <c r="CH69" s="329"/>
      <c r="CI69" s="9"/>
      <c r="CJ69" s="10"/>
      <c r="CK69" s="329"/>
      <c r="CL69" s="9"/>
      <c r="CM69" s="10"/>
      <c r="CN69" s="329"/>
      <c r="CO69" s="9"/>
      <c r="CP69" s="10"/>
      <c r="CQ69" s="220"/>
      <c r="CR69" s="249"/>
      <c r="CS69" s="12"/>
      <c r="CT69" s="13"/>
      <c r="CU69" s="268" t="s">
        <v>84</v>
      </c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3"/>
      <c r="DH69" s="255">
        <f>(DH62/DH63)</f>
        <v>1</v>
      </c>
      <c r="DI69" s="12"/>
      <c r="DJ69" s="13"/>
      <c r="DK69" s="330">
        <v>0.0</v>
      </c>
      <c r="DL69" s="12"/>
      <c r="DM69" s="13"/>
      <c r="DN69" s="253" t="str">
        <f t="shared" si="19"/>
        <v>#DIV/0!</v>
      </c>
      <c r="DO69" s="12"/>
      <c r="DP69" s="13"/>
      <c r="DQ69" s="296">
        <f t="shared" si="23"/>
        <v>0</v>
      </c>
      <c r="DR69" s="12"/>
      <c r="DS69" s="13"/>
      <c r="DT69" s="301" t="str">
        <f t="shared" si="24"/>
        <v>#DIV/0!</v>
      </c>
      <c r="DU69" s="12"/>
      <c r="DV69" s="13"/>
      <c r="DW69" s="255" t="str">
        <f>(DK69-DH69)/'График'!AK30</f>
        <v>#DIV/0!</v>
      </c>
      <c r="DX69" s="12"/>
      <c r="DY69" s="13"/>
      <c r="DZ69" s="315"/>
      <c r="EA69" s="317"/>
      <c r="EB69" s="317"/>
      <c r="EC69" s="317"/>
      <c r="ED69" s="317"/>
      <c r="EE69" s="317"/>
      <c r="EF69" s="317"/>
      <c r="EG69" s="317"/>
      <c r="EH69" s="317"/>
      <c r="EI69" s="317"/>
      <c r="EJ69" s="317"/>
      <c r="EK69" s="317"/>
      <c r="EL69" s="317"/>
      <c r="EM69" s="317"/>
      <c r="EN69" s="317"/>
      <c r="EO69" s="317"/>
      <c r="EP69" s="317"/>
      <c r="EQ69" s="317"/>
      <c r="ER69" s="317"/>
      <c r="ES69" s="317"/>
      <c r="ET69" s="317"/>
      <c r="EU69" s="317"/>
      <c r="EV69" s="317"/>
      <c r="EW69" s="317"/>
      <c r="EX69" s="317"/>
      <c r="EY69" s="317"/>
      <c r="EZ69" s="317"/>
      <c r="FA69" s="317"/>
      <c r="FB69" s="317"/>
      <c r="FC69" s="317"/>
      <c r="FD69" s="317"/>
      <c r="FE69" s="317"/>
      <c r="FF69" s="317"/>
      <c r="FG69" s="317"/>
      <c r="FH69" s="317"/>
      <c r="FI69" s="317"/>
      <c r="FJ69" s="317"/>
      <c r="FK69" s="317"/>
      <c r="FL69" s="317"/>
      <c r="FM69" s="317"/>
      <c r="FN69" s="317"/>
      <c r="FO69" s="317"/>
      <c r="FP69" s="317"/>
      <c r="FQ69" s="317"/>
      <c r="FR69" s="317"/>
      <c r="FS69" s="317"/>
      <c r="FT69" s="317"/>
      <c r="FU69" s="317"/>
      <c r="FV69" s="317"/>
      <c r="FW69" s="317"/>
      <c r="FX69" s="317"/>
      <c r="FY69" s="317"/>
      <c r="FZ69" s="317"/>
      <c r="GA69" s="317"/>
      <c r="GB69" s="317"/>
      <c r="GC69" s="317"/>
      <c r="GD69" s="317"/>
      <c r="GE69" s="317"/>
      <c r="GF69" s="317"/>
      <c r="GG69" s="317"/>
      <c r="GH69" s="317"/>
      <c r="GI69" s="317"/>
      <c r="GJ69" s="317"/>
      <c r="GK69" s="317"/>
      <c r="GL69" s="317"/>
      <c r="GM69" s="317"/>
      <c r="GN69" s="317"/>
      <c r="GO69" s="317"/>
      <c r="GP69" s="317"/>
      <c r="GQ69" s="317"/>
      <c r="GR69" s="317"/>
      <c r="GS69" s="317"/>
      <c r="GT69" s="317"/>
      <c r="GU69" s="317"/>
      <c r="GV69" s="317"/>
      <c r="GW69" s="317"/>
      <c r="GX69" s="317"/>
      <c r="GY69" s="317"/>
      <c r="GZ69" s="317"/>
      <c r="HA69" s="317"/>
      <c r="HB69" s="317"/>
      <c r="HC69" s="317"/>
      <c r="HD69" s="317"/>
      <c r="HE69" s="317"/>
      <c r="HF69" s="317"/>
      <c r="HG69" s="317"/>
      <c r="HH69" s="317"/>
      <c r="HI69" s="317"/>
      <c r="HJ69" s="317"/>
    </row>
    <row r="70" ht="15.0" customHeight="1">
      <c r="A70" s="162"/>
      <c r="B70" s="331"/>
      <c r="C70" s="59"/>
      <c r="D70" s="57"/>
      <c r="E70" s="39"/>
      <c r="F70" s="39"/>
      <c r="G70" s="39"/>
      <c r="H70" s="39"/>
      <c r="I70" s="39"/>
      <c r="J70" s="39"/>
      <c r="K70" s="39"/>
      <c r="L70" s="39"/>
      <c r="M70" s="40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59"/>
      <c r="AT70" s="332">
        <v>20.0</v>
      </c>
      <c r="AU70" s="9"/>
      <c r="AV70" s="10"/>
      <c r="AW70" s="333" t="s">
        <v>37</v>
      </c>
      <c r="AX70" s="334">
        <f>AX69*AT70/100</f>
        <v>2000</v>
      </c>
      <c r="AY70" s="9"/>
      <c r="AZ70" s="10"/>
      <c r="BA70" s="334">
        <f>BA69*AT70/100</f>
        <v>2000</v>
      </c>
      <c r="BB70" s="9"/>
      <c r="BC70" s="10"/>
      <c r="BD70" s="334">
        <f>BD69*AT70/100</f>
        <v>2000</v>
      </c>
      <c r="BE70" s="9"/>
      <c r="BF70" s="10"/>
      <c r="BG70" s="334">
        <f>BG69*AT70/100</f>
        <v>0</v>
      </c>
      <c r="BH70" s="9"/>
      <c r="BI70" s="10"/>
      <c r="BJ70" s="334">
        <f>BJ69*AT70/100</f>
        <v>0</v>
      </c>
      <c r="BK70" s="9"/>
      <c r="BL70" s="10"/>
      <c r="BM70" s="334">
        <f>BM69*AT70/100</f>
        <v>0</v>
      </c>
      <c r="BN70" s="9"/>
      <c r="BO70" s="10"/>
      <c r="BP70" s="334">
        <f>BP69*AT70/100</f>
        <v>0</v>
      </c>
      <c r="BQ70" s="9"/>
      <c r="BR70" s="10"/>
      <c r="BS70" s="334">
        <f>BS69*AT70/100</f>
        <v>0</v>
      </c>
      <c r="BT70" s="9"/>
      <c r="BU70" s="10"/>
      <c r="BV70" s="334">
        <f>BV69*AT70/100</f>
        <v>0</v>
      </c>
      <c r="BW70" s="9"/>
      <c r="BX70" s="10"/>
      <c r="BY70" s="334">
        <f>BY69*HH69/100</f>
        <v>0</v>
      </c>
      <c r="BZ70" s="9"/>
      <c r="CA70" s="10"/>
      <c r="CB70" s="334">
        <f>CB69*AT70/100</f>
        <v>0</v>
      </c>
      <c r="CC70" s="9"/>
      <c r="CD70" s="10"/>
      <c r="CE70" s="334">
        <f>CE69*AT70/100</f>
        <v>0</v>
      </c>
      <c r="CF70" s="9"/>
      <c r="CG70" s="10"/>
      <c r="CH70" s="334">
        <f>CH69*AT70/100</f>
        <v>0</v>
      </c>
      <c r="CI70" s="9"/>
      <c r="CJ70" s="10"/>
      <c r="CK70" s="334">
        <f>CK69*AT70/100</f>
        <v>0</v>
      </c>
      <c r="CL70" s="9"/>
      <c r="CM70" s="10"/>
      <c r="CN70" s="334">
        <f>CN69*AT70/100</f>
        <v>0</v>
      </c>
      <c r="CO70" s="9"/>
      <c r="CP70" s="10"/>
      <c r="CQ70" s="335"/>
      <c r="CR70" s="249">
        <f>sum(CR58:CT64,CR66,CR67,CR68,CR69)</f>
        <v>15000</v>
      </c>
      <c r="CS70" s="12"/>
      <c r="CT70" s="13"/>
      <c r="CU70" s="268" t="s">
        <v>34</v>
      </c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3"/>
      <c r="DH70" s="336">
        <f>sum(DT61,DT62,DT64)/3</f>
        <v>86.66666667</v>
      </c>
      <c r="DI70" s="12"/>
      <c r="DJ70" s="13"/>
      <c r="DK70" s="330">
        <v>100.0</v>
      </c>
      <c r="DL70" s="12"/>
      <c r="DM70" s="13"/>
      <c r="DN70" s="253">
        <f>sum(DN61,DN62,DN64)</f>
        <v>11000</v>
      </c>
      <c r="DO70" s="12"/>
      <c r="DP70" s="13"/>
      <c r="DQ70" s="296">
        <f t="shared" si="23"/>
        <v>86.66666667</v>
      </c>
      <c r="DR70" s="12"/>
      <c r="DS70" s="13"/>
      <c r="DT70" s="301">
        <f t="shared" si="24"/>
        <v>86.66666667</v>
      </c>
      <c r="DU70" s="12"/>
      <c r="DV70" s="13"/>
      <c r="DW70" s="254" t="str">
        <f>(DK70-DH70)/'График'!AK30</f>
        <v>#DIV/0!</v>
      </c>
      <c r="DX70" s="12"/>
      <c r="DY70" s="13"/>
      <c r="DZ70" s="315"/>
      <c r="EA70" s="317"/>
      <c r="EB70" s="317"/>
      <c r="EC70" s="317"/>
      <c r="ED70" s="317"/>
      <c r="EE70" s="317"/>
      <c r="EF70" s="317"/>
      <c r="EG70" s="317"/>
      <c r="EH70" s="317"/>
      <c r="EI70" s="317"/>
      <c r="EJ70" s="317"/>
      <c r="EK70" s="317"/>
      <c r="EL70" s="317"/>
      <c r="EM70" s="317"/>
      <c r="EN70" s="317"/>
      <c r="EO70" s="317"/>
      <c r="EP70" s="317"/>
      <c r="EQ70" s="317"/>
      <c r="ER70" s="317"/>
      <c r="ES70" s="317"/>
      <c r="ET70" s="317"/>
      <c r="EU70" s="317"/>
      <c r="EV70" s="317"/>
      <c r="EW70" s="317"/>
      <c r="EX70" s="317"/>
      <c r="EY70" s="317"/>
      <c r="EZ70" s="317"/>
      <c r="FA70" s="317"/>
      <c r="FB70" s="317"/>
      <c r="FC70" s="317"/>
      <c r="FD70" s="317"/>
      <c r="FE70" s="317"/>
      <c r="FF70" s="317"/>
      <c r="FG70" s="317"/>
      <c r="FH70" s="317"/>
      <c r="FI70" s="317"/>
      <c r="FJ70" s="317"/>
      <c r="FK70" s="317"/>
      <c r="FL70" s="317"/>
      <c r="FM70" s="317"/>
      <c r="FN70" s="317"/>
      <c r="FO70" s="317"/>
      <c r="FP70" s="317"/>
      <c r="FQ70" s="317"/>
      <c r="FR70" s="317"/>
      <c r="FS70" s="317"/>
      <c r="FT70" s="317"/>
      <c r="FU70" s="317"/>
      <c r="FV70" s="317"/>
      <c r="FW70" s="317"/>
      <c r="FX70" s="317"/>
      <c r="FY70" s="317"/>
      <c r="FZ70" s="317"/>
      <c r="GA70" s="317"/>
      <c r="GB70" s="317"/>
      <c r="GC70" s="317"/>
      <c r="GD70" s="317"/>
      <c r="GE70" s="317"/>
      <c r="GF70" s="317"/>
      <c r="GG70" s="317"/>
      <c r="GH70" s="317"/>
      <c r="GI70" s="317"/>
      <c r="GJ70" s="317"/>
      <c r="GK70" s="317"/>
      <c r="GL70" s="317"/>
      <c r="GM70" s="317"/>
      <c r="GN70" s="317"/>
      <c r="GO70" s="317"/>
      <c r="GP70" s="317"/>
      <c r="GQ70" s="317"/>
      <c r="GR70" s="317"/>
      <c r="GS70" s="317"/>
      <c r="GT70" s="317"/>
      <c r="GU70" s="317"/>
      <c r="GV70" s="317"/>
      <c r="GW70" s="317"/>
      <c r="GX70" s="317"/>
      <c r="GY70" s="317"/>
      <c r="GZ70" s="317"/>
      <c r="HA70" s="317"/>
      <c r="HB70" s="317"/>
      <c r="HC70" s="317"/>
      <c r="HD70" s="317"/>
      <c r="HE70" s="317"/>
      <c r="HF70" s="317"/>
      <c r="HG70" s="317"/>
      <c r="HH70" s="317"/>
      <c r="HI70" s="317"/>
      <c r="HJ70" s="317"/>
    </row>
    <row r="71" ht="15.0" customHeight="1">
      <c r="A71" s="166"/>
      <c r="B71" s="13"/>
      <c r="C71" s="213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  <c r="AB71" s="337"/>
      <c r="AC71" s="337"/>
      <c r="AD71" s="337"/>
      <c r="AE71" s="337"/>
      <c r="AF71" s="337"/>
      <c r="AG71" s="337"/>
      <c r="AH71" s="337"/>
      <c r="AI71" s="337"/>
      <c r="AJ71" s="337"/>
      <c r="AK71" s="337"/>
      <c r="AL71" s="337"/>
      <c r="AM71" s="337"/>
      <c r="AN71" s="337"/>
      <c r="AO71" s="337"/>
      <c r="AP71" s="337"/>
      <c r="AQ71" s="337"/>
      <c r="AR71" s="337"/>
      <c r="AS71" s="338"/>
      <c r="AT71" s="338"/>
      <c r="AU71" s="338"/>
      <c r="AV71" s="338"/>
      <c r="AW71" s="338"/>
      <c r="AX71" s="338"/>
      <c r="AY71" s="338"/>
      <c r="AZ71" s="338"/>
      <c r="BA71" s="338"/>
      <c r="BB71" s="338"/>
      <c r="BC71" s="338"/>
      <c r="BD71" s="338"/>
      <c r="BE71" s="338"/>
      <c r="BF71" s="338"/>
      <c r="BG71" s="338"/>
      <c r="BH71" s="338"/>
      <c r="BI71" s="338"/>
      <c r="BJ71" s="338"/>
      <c r="BK71" s="338"/>
      <c r="BL71" s="338"/>
      <c r="BM71" s="338"/>
      <c r="BN71" s="338"/>
      <c r="BO71" s="338"/>
      <c r="BP71" s="338"/>
      <c r="BQ71" s="338"/>
      <c r="BR71" s="338"/>
      <c r="BS71" s="338"/>
      <c r="BT71" s="338"/>
      <c r="BU71" s="338"/>
      <c r="BV71" s="338"/>
      <c r="BW71" s="338"/>
      <c r="BX71" s="338"/>
      <c r="BY71" s="338"/>
      <c r="BZ71" s="338"/>
      <c r="CA71" s="338"/>
      <c r="CB71" s="338"/>
      <c r="CC71" s="338"/>
      <c r="CD71" s="338"/>
      <c r="CE71" s="338"/>
      <c r="CF71" s="338"/>
      <c r="CG71" s="338"/>
      <c r="CH71" s="338"/>
      <c r="CI71" s="338"/>
      <c r="CJ71" s="338"/>
      <c r="CK71" s="338"/>
      <c r="CL71" s="338"/>
      <c r="CM71" s="338"/>
      <c r="CN71" s="338"/>
      <c r="CO71" s="338"/>
      <c r="CP71" s="338"/>
      <c r="CQ71" s="338"/>
      <c r="CR71" s="337"/>
      <c r="CS71" s="337"/>
      <c r="CT71" s="337"/>
      <c r="CU71" s="337"/>
      <c r="CV71" s="337"/>
      <c r="CW71" s="337"/>
      <c r="CX71" s="337"/>
      <c r="CY71" s="337"/>
      <c r="CZ71" s="337"/>
      <c r="DA71" s="337"/>
      <c r="DB71" s="337"/>
      <c r="DC71" s="337"/>
      <c r="DD71" s="337"/>
      <c r="DE71" s="337"/>
      <c r="DF71" s="337"/>
      <c r="DG71" s="337"/>
      <c r="DH71" s="337"/>
      <c r="DI71" s="337"/>
      <c r="DJ71" s="337"/>
      <c r="DK71" s="338"/>
      <c r="DL71" s="338"/>
      <c r="DM71" s="338"/>
      <c r="DN71" s="337"/>
      <c r="DO71" s="337"/>
      <c r="DP71" s="337"/>
      <c r="DQ71" s="337"/>
      <c r="DR71" s="337"/>
      <c r="DS71" s="337"/>
      <c r="DT71" s="337"/>
      <c r="DU71" s="337"/>
      <c r="DV71" s="337"/>
      <c r="DW71" s="337"/>
      <c r="DX71" s="337"/>
      <c r="DY71" s="337"/>
      <c r="DZ71" s="338"/>
      <c r="EA71" s="338"/>
      <c r="EB71" s="338"/>
      <c r="EC71" s="338"/>
      <c r="ED71" s="338"/>
      <c r="EE71" s="338"/>
      <c r="EF71" s="338"/>
      <c r="EG71" s="338"/>
      <c r="EH71" s="338"/>
      <c r="EI71" s="338"/>
      <c r="EJ71" s="338"/>
      <c r="EK71" s="338"/>
      <c r="EL71" s="338"/>
      <c r="EM71" s="338"/>
      <c r="EN71" s="338"/>
      <c r="EO71" s="338"/>
      <c r="EP71" s="338"/>
      <c r="EQ71" s="338"/>
      <c r="ER71" s="338"/>
      <c r="ES71" s="338"/>
      <c r="ET71" s="338"/>
      <c r="EU71" s="338"/>
      <c r="EV71" s="338"/>
      <c r="EW71" s="338"/>
      <c r="EX71" s="338"/>
      <c r="EY71" s="338"/>
      <c r="EZ71" s="338"/>
      <c r="FA71" s="338"/>
      <c r="FB71" s="338"/>
      <c r="FC71" s="338"/>
      <c r="FD71" s="338"/>
      <c r="FE71" s="338"/>
      <c r="FF71" s="338"/>
      <c r="FG71" s="338"/>
      <c r="FH71" s="338"/>
      <c r="FI71" s="338"/>
      <c r="FJ71" s="338"/>
      <c r="FK71" s="338"/>
      <c r="FL71" s="338"/>
      <c r="FM71" s="338"/>
      <c r="FN71" s="338"/>
      <c r="FO71" s="338"/>
      <c r="FP71" s="338"/>
      <c r="FQ71" s="338"/>
      <c r="FR71" s="338"/>
      <c r="FS71" s="338"/>
      <c r="FT71" s="338"/>
      <c r="FU71" s="338"/>
      <c r="FV71" s="338"/>
      <c r="FW71" s="338"/>
      <c r="FX71" s="338"/>
      <c r="FY71" s="338"/>
      <c r="FZ71" s="338"/>
      <c r="GA71" s="338"/>
      <c r="GB71" s="338"/>
      <c r="GC71" s="338"/>
      <c r="GD71" s="338"/>
      <c r="GE71" s="338"/>
      <c r="GF71" s="338"/>
      <c r="GG71" s="338"/>
      <c r="GH71" s="338"/>
      <c r="GI71" s="338"/>
      <c r="GJ71" s="338"/>
      <c r="GK71" s="338"/>
      <c r="GL71" s="338"/>
      <c r="GM71" s="338"/>
      <c r="GN71" s="338"/>
      <c r="GO71" s="338"/>
      <c r="GP71" s="338"/>
      <c r="GQ71" s="338"/>
      <c r="GR71" s="338"/>
      <c r="GS71" s="338"/>
      <c r="GT71" s="338"/>
      <c r="GU71" s="338"/>
      <c r="GV71" s="338"/>
      <c r="GW71" s="338"/>
      <c r="GX71" s="338"/>
      <c r="GY71" s="338"/>
      <c r="GZ71" s="338"/>
      <c r="HA71" s="338"/>
      <c r="HB71" s="338"/>
      <c r="HC71" s="338"/>
      <c r="HD71" s="338"/>
      <c r="HE71" s="338"/>
      <c r="HF71" s="338"/>
      <c r="HG71" s="338"/>
      <c r="HH71" s="338"/>
      <c r="HI71" s="338"/>
      <c r="HJ71" s="338"/>
    </row>
    <row r="72" ht="15.0" customHeight="1">
      <c r="A72" s="181"/>
      <c r="B72" s="181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  <c r="CB72" s="214"/>
      <c r="CC72" s="214"/>
      <c r="CD72" s="214"/>
      <c r="CE72" s="214"/>
      <c r="CF72" s="214"/>
      <c r="CG72" s="214"/>
      <c r="CH72" s="214"/>
      <c r="CI72" s="214"/>
      <c r="CJ72" s="214"/>
      <c r="CK72" s="214"/>
      <c r="CL72" s="214"/>
      <c r="CM72" s="214"/>
      <c r="CN72" s="214"/>
      <c r="CO72" s="214"/>
      <c r="CP72" s="214"/>
      <c r="CQ72" s="214"/>
      <c r="CR72" s="214"/>
      <c r="CS72" s="214"/>
      <c r="CT72" s="214"/>
      <c r="CU72" s="214"/>
      <c r="CV72" s="214"/>
      <c r="CW72" s="214"/>
      <c r="CX72" s="214"/>
      <c r="CY72" s="214"/>
      <c r="CZ72" s="214"/>
      <c r="DA72" s="214"/>
      <c r="DB72" s="214"/>
      <c r="DC72" s="214"/>
      <c r="DD72" s="214"/>
      <c r="DE72" s="214"/>
      <c r="DF72" s="214"/>
      <c r="DG72" s="214"/>
      <c r="DH72" s="214"/>
      <c r="DI72" s="214"/>
      <c r="DJ72" s="214"/>
      <c r="DK72" s="214"/>
      <c r="DL72" s="214"/>
      <c r="DM72" s="214"/>
      <c r="DN72" s="214"/>
      <c r="DO72" s="214"/>
      <c r="DP72" s="214"/>
      <c r="DQ72" s="214"/>
      <c r="DR72" s="214"/>
      <c r="DS72" s="214"/>
      <c r="DT72" s="214"/>
      <c r="DU72" s="214"/>
      <c r="DV72" s="214"/>
      <c r="DW72" s="214"/>
      <c r="DX72" s="214"/>
      <c r="DY72" s="214"/>
      <c r="DZ72" s="214"/>
      <c r="EA72" s="214"/>
      <c r="EB72" s="214"/>
      <c r="EC72" s="214"/>
      <c r="ED72" s="214"/>
      <c r="EE72" s="214"/>
      <c r="EF72" s="214"/>
      <c r="EG72" s="214"/>
      <c r="EH72" s="214"/>
      <c r="EI72" s="214"/>
      <c r="EJ72" s="214"/>
      <c r="EK72" s="214"/>
      <c r="EL72" s="214"/>
      <c r="EM72" s="214"/>
      <c r="EN72" s="214"/>
      <c r="EO72" s="214"/>
      <c r="EP72" s="214"/>
      <c r="EQ72" s="214"/>
      <c r="ER72" s="214"/>
      <c r="ES72" s="214"/>
      <c r="ET72" s="214"/>
      <c r="EU72" s="214"/>
      <c r="EV72" s="214"/>
      <c r="EW72" s="214"/>
      <c r="EX72" s="214"/>
      <c r="EY72" s="214"/>
      <c r="EZ72" s="214"/>
      <c r="FA72" s="214"/>
      <c r="FB72" s="214"/>
      <c r="FC72" s="214"/>
      <c r="FD72" s="214"/>
      <c r="FE72" s="214"/>
      <c r="FF72" s="214"/>
      <c r="FG72" s="214"/>
      <c r="FH72" s="214"/>
      <c r="FI72" s="214"/>
      <c r="FJ72" s="214"/>
      <c r="FK72" s="214"/>
      <c r="FL72" s="214"/>
      <c r="FM72" s="214"/>
      <c r="FN72" s="214"/>
      <c r="FO72" s="214"/>
      <c r="FP72" s="214"/>
      <c r="FQ72" s="214"/>
      <c r="FR72" s="214"/>
      <c r="FS72" s="214"/>
      <c r="FT72" s="214"/>
      <c r="FU72" s="214"/>
      <c r="FV72" s="214"/>
      <c r="FW72" s="214"/>
      <c r="FX72" s="214"/>
      <c r="FY72" s="214"/>
      <c r="FZ72" s="214"/>
      <c r="GA72" s="214"/>
      <c r="GB72" s="214"/>
      <c r="GC72" s="214"/>
      <c r="GD72" s="214"/>
      <c r="GE72" s="214"/>
      <c r="GF72" s="214"/>
      <c r="GG72" s="214"/>
      <c r="GH72" s="214"/>
      <c r="GI72" s="214"/>
      <c r="GJ72" s="214"/>
      <c r="GK72" s="214"/>
      <c r="GL72" s="214"/>
      <c r="GM72" s="214"/>
      <c r="GN72" s="214"/>
      <c r="GO72" s="214"/>
      <c r="GP72" s="214"/>
      <c r="GQ72" s="214"/>
      <c r="GR72" s="214"/>
      <c r="GS72" s="214"/>
      <c r="GT72" s="214"/>
      <c r="GU72" s="214"/>
      <c r="GV72" s="214"/>
      <c r="GW72" s="214"/>
      <c r="GX72" s="214"/>
      <c r="GY72" s="214"/>
      <c r="GZ72" s="214"/>
      <c r="HA72" s="214"/>
      <c r="HB72" s="214"/>
      <c r="HC72" s="214"/>
      <c r="HD72" s="214"/>
      <c r="HE72" s="214"/>
      <c r="HF72" s="214"/>
      <c r="HG72" s="214"/>
      <c r="HH72" s="214"/>
      <c r="HI72" s="214"/>
      <c r="HJ72" s="214"/>
    </row>
    <row r="73" ht="15.0" customHeight="1">
      <c r="A73" s="180"/>
      <c r="B73" s="13"/>
      <c r="C73" s="215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7"/>
      <c r="AT73" s="216"/>
      <c r="AU73" s="216"/>
      <c r="AV73" s="216"/>
      <c r="AW73" s="216"/>
      <c r="AX73" s="216"/>
      <c r="AY73" s="216"/>
      <c r="AZ73" s="216"/>
      <c r="BA73" s="216"/>
      <c r="BB73" s="216"/>
      <c r="BC73" s="216"/>
      <c r="BD73" s="216"/>
      <c r="BE73" s="216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6"/>
      <c r="BS73" s="216"/>
      <c r="BT73" s="216"/>
      <c r="BU73" s="216"/>
      <c r="BV73" s="216"/>
      <c r="BW73" s="216"/>
      <c r="BX73" s="216"/>
      <c r="BY73" s="216"/>
      <c r="BZ73" s="216"/>
      <c r="CA73" s="216"/>
      <c r="CB73" s="216"/>
      <c r="CC73" s="216"/>
      <c r="CD73" s="216"/>
      <c r="CE73" s="216"/>
      <c r="CF73" s="216"/>
      <c r="CG73" s="216"/>
      <c r="CH73" s="216"/>
      <c r="CI73" s="216"/>
      <c r="CJ73" s="216"/>
      <c r="CK73" s="216"/>
      <c r="CL73" s="216"/>
      <c r="CM73" s="216"/>
      <c r="CN73" s="216"/>
      <c r="CO73" s="216"/>
      <c r="CP73" s="216"/>
      <c r="CQ73" s="217"/>
      <c r="CR73" s="216"/>
      <c r="CS73" s="216"/>
      <c r="CT73" s="216"/>
      <c r="CU73" s="216"/>
      <c r="CV73" s="216"/>
      <c r="CW73" s="216"/>
      <c r="CX73" s="216"/>
      <c r="CY73" s="216"/>
      <c r="CZ73" s="216"/>
      <c r="DA73" s="216"/>
      <c r="DB73" s="216"/>
      <c r="DC73" s="216"/>
      <c r="DD73" s="216"/>
      <c r="DE73" s="216"/>
      <c r="DF73" s="216"/>
      <c r="DG73" s="216"/>
      <c r="DH73" s="216"/>
      <c r="DI73" s="216"/>
      <c r="DJ73" s="216"/>
      <c r="DK73" s="216"/>
      <c r="DL73" s="216"/>
      <c r="DM73" s="216"/>
      <c r="DN73" s="216"/>
      <c r="DO73" s="216"/>
      <c r="DP73" s="216"/>
      <c r="DQ73" s="216"/>
      <c r="DR73" s="216"/>
      <c r="DS73" s="216"/>
      <c r="DT73" s="216"/>
      <c r="DU73" s="216"/>
      <c r="DV73" s="216"/>
      <c r="DW73" s="216"/>
      <c r="DX73" s="216"/>
      <c r="DY73" s="216"/>
      <c r="DZ73" s="217"/>
      <c r="EA73" s="216"/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216"/>
      <c r="EO73" s="216"/>
      <c r="EP73" s="216"/>
      <c r="EQ73" s="216"/>
      <c r="ER73" s="216"/>
      <c r="ES73" s="217"/>
      <c r="ET73" s="216"/>
      <c r="EU73" s="216"/>
      <c r="EV73" s="216"/>
      <c r="EW73" s="216"/>
      <c r="EX73" s="216"/>
      <c r="EY73" s="216"/>
      <c r="EZ73" s="216"/>
      <c r="FA73" s="216"/>
      <c r="FB73" s="216"/>
      <c r="FC73" s="216"/>
      <c r="FD73" s="216"/>
      <c r="FE73" s="216"/>
      <c r="FF73" s="216"/>
      <c r="FG73" s="216"/>
      <c r="FH73" s="216"/>
      <c r="FI73" s="216"/>
      <c r="FJ73" s="216"/>
      <c r="FK73" s="216"/>
      <c r="FL73" s="216"/>
      <c r="FM73" s="217"/>
      <c r="FN73" s="216"/>
      <c r="FO73" s="216"/>
      <c r="FP73" s="216"/>
      <c r="FQ73" s="216"/>
      <c r="FR73" s="216"/>
      <c r="FS73" s="216"/>
      <c r="FT73" s="216"/>
      <c r="FU73" s="216"/>
      <c r="FV73" s="216"/>
      <c r="FW73" s="216"/>
      <c r="FX73" s="216"/>
      <c r="FY73" s="216"/>
      <c r="FZ73" s="216"/>
      <c r="GA73" s="216"/>
      <c r="GB73" s="216"/>
      <c r="GC73" s="216"/>
      <c r="GD73" s="216"/>
      <c r="GE73" s="216"/>
      <c r="GF73" s="216"/>
      <c r="GG73" s="216"/>
      <c r="GH73" s="216"/>
      <c r="GI73" s="216"/>
      <c r="GJ73" s="216"/>
      <c r="GK73" s="216"/>
      <c r="GL73" s="216"/>
      <c r="GM73" s="216"/>
      <c r="GN73" s="216"/>
      <c r="GO73" s="216"/>
      <c r="GP73" s="216"/>
      <c r="GQ73" s="216"/>
      <c r="GR73" s="216"/>
      <c r="GS73" s="216"/>
      <c r="GT73" s="216"/>
      <c r="GU73" s="216"/>
      <c r="GV73" s="216"/>
      <c r="GW73" s="216"/>
      <c r="GX73" s="216"/>
      <c r="GY73" s="216"/>
      <c r="GZ73" s="216"/>
      <c r="HA73" s="216"/>
      <c r="HB73" s="216"/>
      <c r="HC73" s="216"/>
      <c r="HD73" s="216"/>
      <c r="HE73" s="216"/>
      <c r="HF73" s="216"/>
      <c r="HG73" s="216"/>
      <c r="HH73" s="216"/>
      <c r="HI73" s="216"/>
      <c r="HJ73" s="217"/>
    </row>
    <row r="74" ht="15.0" customHeight="1">
      <c r="A74" s="189"/>
      <c r="B74" s="13"/>
      <c r="C74" s="218"/>
      <c r="D74" s="4" t="s">
        <v>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6"/>
      <c r="AS74" s="219"/>
      <c r="AT74" s="8" t="s">
        <v>1</v>
      </c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10"/>
      <c r="CQ74" s="220"/>
      <c r="CR74" s="221" t="s">
        <v>85</v>
      </c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3"/>
      <c r="DZ74" s="219"/>
      <c r="EA74" s="14" t="s">
        <v>3</v>
      </c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6"/>
      <c r="ES74" s="219"/>
      <c r="ET74" s="17" t="s">
        <v>86</v>
      </c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9"/>
      <c r="FM74" s="219"/>
      <c r="FN74" s="20" t="s">
        <v>112</v>
      </c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2"/>
      <c r="HJ74" s="222"/>
    </row>
    <row r="75" ht="15.0" customHeight="1">
      <c r="A75" s="23" t="s">
        <v>113</v>
      </c>
      <c r="B75" s="223"/>
      <c r="D75" s="224" t="s">
        <v>7</v>
      </c>
      <c r="E75" s="27"/>
      <c r="F75" s="27"/>
      <c r="G75" s="27"/>
      <c r="H75" s="27"/>
      <c r="I75" s="27"/>
      <c r="J75" s="27"/>
      <c r="K75" s="27"/>
      <c r="L75" s="28"/>
      <c r="M75" s="225" t="s">
        <v>8</v>
      </c>
      <c r="N75" s="226">
        <v>44621.0</v>
      </c>
      <c r="O75" s="226">
        <v>44622.0</v>
      </c>
      <c r="P75" s="226">
        <v>44623.0</v>
      </c>
      <c r="Q75" s="226">
        <v>44624.0</v>
      </c>
      <c r="R75" s="226">
        <v>44625.0</v>
      </c>
      <c r="S75" s="226">
        <v>44626.0</v>
      </c>
      <c r="T75" s="226">
        <v>44627.0</v>
      </c>
      <c r="U75" s="226">
        <v>44628.0</v>
      </c>
      <c r="V75" s="226">
        <v>44629.0</v>
      </c>
      <c r="W75" s="226">
        <v>44630.0</v>
      </c>
      <c r="X75" s="226">
        <v>44631.0</v>
      </c>
      <c r="Y75" s="226">
        <v>44632.0</v>
      </c>
      <c r="Z75" s="226">
        <v>44633.0</v>
      </c>
      <c r="AA75" s="226">
        <v>44634.0</v>
      </c>
      <c r="AB75" s="226">
        <v>44635.0</v>
      </c>
      <c r="AC75" s="226">
        <v>44636.0</v>
      </c>
      <c r="AD75" s="226">
        <v>44637.0</v>
      </c>
      <c r="AE75" s="226">
        <v>44638.0</v>
      </c>
      <c r="AF75" s="226">
        <v>44639.0</v>
      </c>
      <c r="AG75" s="226">
        <v>44640.0</v>
      </c>
      <c r="AH75" s="226">
        <v>44641.0</v>
      </c>
      <c r="AI75" s="226">
        <v>44642.0</v>
      </c>
      <c r="AJ75" s="226">
        <v>44643.0</v>
      </c>
      <c r="AK75" s="226">
        <v>44644.0</v>
      </c>
      <c r="AL75" s="226">
        <v>44645.0</v>
      </c>
      <c r="AM75" s="226">
        <v>44646.0</v>
      </c>
      <c r="AN75" s="226">
        <v>44647.0</v>
      </c>
      <c r="AO75" s="226">
        <v>44648.0</v>
      </c>
      <c r="AP75" s="226">
        <v>44649.0</v>
      </c>
      <c r="AQ75" s="226">
        <v>44650.0</v>
      </c>
      <c r="AR75" s="226">
        <v>44651.0</v>
      </c>
      <c r="AT75" s="227" t="s">
        <v>9</v>
      </c>
      <c r="AU75" s="228"/>
      <c r="AV75" s="228"/>
      <c r="AW75" s="229"/>
      <c r="AX75" s="230" t="s">
        <v>114</v>
      </c>
      <c r="AY75" s="228"/>
      <c r="AZ75" s="229"/>
      <c r="BA75" s="230" t="s">
        <v>108</v>
      </c>
      <c r="BB75" s="228"/>
      <c r="BC75" s="229"/>
      <c r="BD75" s="230" t="s">
        <v>115</v>
      </c>
      <c r="BE75" s="228"/>
      <c r="BF75" s="229"/>
      <c r="BG75" s="339" t="s">
        <v>116</v>
      </c>
      <c r="BH75" s="228"/>
      <c r="BI75" s="229"/>
      <c r="BJ75" s="339" t="s">
        <v>117</v>
      </c>
      <c r="BK75" s="228"/>
      <c r="BL75" s="229"/>
      <c r="BM75" s="231"/>
      <c r="BN75" s="228"/>
      <c r="BO75" s="229"/>
      <c r="BP75" s="231"/>
      <c r="BQ75" s="228"/>
      <c r="BR75" s="229"/>
      <c r="BS75" s="231"/>
      <c r="BT75" s="228"/>
      <c r="BU75" s="229"/>
      <c r="BV75" s="231"/>
      <c r="BW75" s="228"/>
      <c r="BX75" s="229"/>
      <c r="BY75" s="231"/>
      <c r="BZ75" s="228"/>
      <c r="CA75" s="229"/>
      <c r="CB75" s="231"/>
      <c r="CC75" s="228"/>
      <c r="CD75" s="229"/>
      <c r="CE75" s="231"/>
      <c r="CF75" s="228"/>
      <c r="CG75" s="229"/>
      <c r="CH75" s="231"/>
      <c r="CI75" s="228"/>
      <c r="CJ75" s="229"/>
      <c r="CK75" s="231"/>
      <c r="CL75" s="228"/>
      <c r="CM75" s="229"/>
      <c r="CN75" s="231"/>
      <c r="CO75" s="228"/>
      <c r="CP75" s="229"/>
      <c r="CQ75" s="220"/>
      <c r="CR75" s="37" t="s">
        <v>10</v>
      </c>
      <c r="CS75" s="12"/>
      <c r="CT75" s="13"/>
      <c r="CU75" s="37" t="s">
        <v>11</v>
      </c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3"/>
      <c r="DH75" s="232" t="s">
        <v>12</v>
      </c>
      <c r="DI75" s="12"/>
      <c r="DJ75" s="13"/>
      <c r="DK75" s="232" t="s">
        <v>13</v>
      </c>
      <c r="DL75" s="12"/>
      <c r="DM75" s="13"/>
      <c r="DN75" s="233" t="s">
        <v>90</v>
      </c>
      <c r="DO75" s="12"/>
      <c r="DP75" s="13"/>
      <c r="DQ75" s="37" t="s">
        <v>91</v>
      </c>
      <c r="DR75" s="12"/>
      <c r="DS75" s="13"/>
      <c r="DT75" s="234" t="s">
        <v>16</v>
      </c>
      <c r="DU75" s="12"/>
      <c r="DV75" s="13"/>
      <c r="DW75" s="233" t="s">
        <v>92</v>
      </c>
      <c r="DX75" s="12"/>
      <c r="DY75" s="13"/>
      <c r="EA75" s="235" t="s">
        <v>18</v>
      </c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6"/>
      <c r="EO75" s="236" t="s">
        <v>93</v>
      </c>
      <c r="EP75" s="16"/>
      <c r="EQ75" s="236" t="s">
        <v>94</v>
      </c>
      <c r="ER75" s="16"/>
      <c r="ET75" s="237" t="s">
        <v>20</v>
      </c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9"/>
      <c r="FJ75" s="238" t="s">
        <v>21</v>
      </c>
      <c r="FK75" s="18"/>
      <c r="FL75" s="19"/>
      <c r="FN75" s="239" t="s">
        <v>22</v>
      </c>
      <c r="FO75" s="240"/>
      <c r="FP75" s="240"/>
      <c r="FQ75" s="240"/>
      <c r="FR75" s="240"/>
      <c r="FS75" s="240"/>
      <c r="FT75" s="240"/>
      <c r="FU75" s="240"/>
      <c r="FV75" s="240"/>
      <c r="FW75" s="240"/>
      <c r="FX75" s="240"/>
      <c r="FY75" s="241"/>
      <c r="FZ75" s="242" t="s">
        <v>23</v>
      </c>
      <c r="GA75" s="241"/>
      <c r="GB75" s="243">
        <v>44317.0</v>
      </c>
      <c r="GC75" s="243">
        <v>44318.0</v>
      </c>
      <c r="GD75" s="243">
        <v>44319.0</v>
      </c>
      <c r="GE75" s="243">
        <v>44320.0</v>
      </c>
      <c r="GF75" s="243">
        <v>44321.0</v>
      </c>
      <c r="GG75" s="243">
        <v>44322.0</v>
      </c>
      <c r="GH75" s="243">
        <v>44323.0</v>
      </c>
      <c r="GI75" s="243">
        <v>44324.0</v>
      </c>
      <c r="GJ75" s="243">
        <v>44325.0</v>
      </c>
      <c r="GK75" s="243">
        <v>44326.0</v>
      </c>
      <c r="GL75" s="243">
        <v>44327.0</v>
      </c>
      <c r="GM75" s="243">
        <v>44328.0</v>
      </c>
      <c r="GN75" s="243">
        <v>44329.0</v>
      </c>
      <c r="GO75" s="243">
        <v>44330.0</v>
      </c>
      <c r="GP75" s="243">
        <v>44331.0</v>
      </c>
      <c r="GQ75" s="243">
        <v>44332.0</v>
      </c>
      <c r="GR75" s="243">
        <v>44333.0</v>
      </c>
      <c r="GS75" s="243">
        <v>44334.0</v>
      </c>
      <c r="GT75" s="243">
        <v>44335.0</v>
      </c>
      <c r="GU75" s="243">
        <v>44336.0</v>
      </c>
      <c r="GV75" s="243">
        <v>44337.0</v>
      </c>
      <c r="GW75" s="243">
        <v>44338.0</v>
      </c>
      <c r="GX75" s="243">
        <v>44339.0</v>
      </c>
      <c r="GY75" s="243">
        <v>44340.0</v>
      </c>
      <c r="GZ75" s="243">
        <v>44341.0</v>
      </c>
      <c r="HA75" s="243">
        <v>44342.0</v>
      </c>
      <c r="HB75" s="243">
        <v>44343.0</v>
      </c>
      <c r="HC75" s="243">
        <v>44344.0</v>
      </c>
      <c r="HD75" s="243">
        <v>44345.0</v>
      </c>
      <c r="HE75" s="243">
        <v>44346.0</v>
      </c>
      <c r="HF75" s="243">
        <v>44347.0</v>
      </c>
      <c r="HG75" s="244" t="s">
        <v>24</v>
      </c>
      <c r="HH75" s="240"/>
      <c r="HI75" s="241"/>
      <c r="HJ75" s="35"/>
    </row>
    <row r="76" ht="15.0" customHeight="1">
      <c r="A76" s="54"/>
      <c r="B76" s="245"/>
      <c r="D76" s="55"/>
      <c r="L76" s="33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T76" s="246"/>
      <c r="AU76" s="247"/>
      <c r="AV76" s="247"/>
      <c r="AW76" s="248"/>
      <c r="AX76" s="246"/>
      <c r="AY76" s="247"/>
      <c r="AZ76" s="248"/>
      <c r="BA76" s="246"/>
      <c r="BB76" s="247"/>
      <c r="BC76" s="248"/>
      <c r="BD76" s="246"/>
      <c r="BE76" s="247"/>
      <c r="BF76" s="248"/>
      <c r="BG76" s="246"/>
      <c r="BH76" s="247"/>
      <c r="BI76" s="248"/>
      <c r="BJ76" s="246"/>
      <c r="BK76" s="247"/>
      <c r="BL76" s="248"/>
      <c r="BM76" s="246"/>
      <c r="BN76" s="247"/>
      <c r="BO76" s="248"/>
      <c r="BP76" s="246"/>
      <c r="BQ76" s="247"/>
      <c r="BR76" s="248"/>
      <c r="BS76" s="246"/>
      <c r="BT76" s="247"/>
      <c r="BU76" s="248"/>
      <c r="BV76" s="246"/>
      <c r="BW76" s="247"/>
      <c r="BX76" s="248"/>
      <c r="BY76" s="246"/>
      <c r="BZ76" s="247"/>
      <c r="CA76" s="248"/>
      <c r="CB76" s="246"/>
      <c r="CC76" s="247"/>
      <c r="CD76" s="248"/>
      <c r="CE76" s="246"/>
      <c r="CF76" s="247"/>
      <c r="CG76" s="248"/>
      <c r="CH76" s="246"/>
      <c r="CI76" s="247"/>
      <c r="CJ76" s="248"/>
      <c r="CK76" s="246"/>
      <c r="CL76" s="247"/>
      <c r="CM76" s="248"/>
      <c r="CN76" s="246"/>
      <c r="CO76" s="247"/>
      <c r="CP76" s="248"/>
      <c r="CQ76" s="220"/>
      <c r="CR76" s="249"/>
      <c r="CS76" s="12"/>
      <c r="CT76" s="13"/>
      <c r="CU76" s="250" t="s">
        <v>25</v>
      </c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3"/>
      <c r="DH76" s="251">
        <f t="shared" ref="DH76:DH81" si="25">SUM(N79:AR79)</f>
        <v>0</v>
      </c>
      <c r="DI76" s="12"/>
      <c r="DJ76" s="13"/>
      <c r="DK76" s="252">
        <v>0.0</v>
      </c>
      <c r="DL76" s="12"/>
      <c r="DM76" s="13"/>
      <c r="DN76" s="253">
        <f t="shared" ref="DN76:DN87" si="26">CR76*DT76/100</f>
        <v>0</v>
      </c>
      <c r="DO76" s="12"/>
      <c r="DP76" s="13"/>
      <c r="DQ76" s="252">
        <v>0.0</v>
      </c>
      <c r="DR76" s="12"/>
      <c r="DS76" s="13"/>
      <c r="DT76" s="254">
        <v>0.0</v>
      </c>
      <c r="DU76" s="12"/>
      <c r="DV76" s="13"/>
      <c r="DW76" s="255" t="str">
        <f>(DK76-DH76)/'График'!AK48</f>
        <v>#DIV/0!</v>
      </c>
      <c r="DX76" s="12"/>
      <c r="DY76" s="13"/>
      <c r="EA76" s="256" t="s">
        <v>26</v>
      </c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6"/>
      <c r="EO76" s="257" t="str">
        <f>DH78*100/DH76</f>
        <v>#DIV/0!</v>
      </c>
      <c r="EP76" s="16"/>
      <c r="EQ76" s="257" t="str">
        <f>((DH78*100/DH76)+EO58)/2</f>
        <v>#DIV/0!</v>
      </c>
      <c r="ER76" s="16"/>
      <c r="ET76" s="258" t="s">
        <v>27</v>
      </c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9"/>
      <c r="FJ76" s="259">
        <f>HG85</f>
        <v>0</v>
      </c>
      <c r="FK76" s="18"/>
      <c r="FL76" s="19"/>
      <c r="FN76" s="260"/>
      <c r="FY76" s="261"/>
      <c r="FZ76" s="260"/>
      <c r="GA76" s="261"/>
      <c r="GB76" s="262"/>
      <c r="GC76" s="262"/>
      <c r="GD76" s="262"/>
      <c r="GE76" s="262"/>
      <c r="GF76" s="262"/>
      <c r="GG76" s="262"/>
      <c r="GH76" s="262"/>
      <c r="GI76" s="262"/>
      <c r="GJ76" s="262"/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0"/>
      <c r="HI76" s="261"/>
      <c r="HJ76" s="35"/>
    </row>
    <row r="77" ht="15.0" customHeight="1">
      <c r="A77" s="54"/>
      <c r="B77" s="245"/>
      <c r="D77" s="55"/>
      <c r="L77" s="33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T77" s="263" t="s">
        <v>21</v>
      </c>
      <c r="AU77" s="9"/>
      <c r="AV77" s="9"/>
      <c r="AW77" s="10"/>
      <c r="AX77" s="264">
        <v>25000.0</v>
      </c>
      <c r="AY77" s="9"/>
      <c r="AZ77" s="10"/>
      <c r="BA77" s="264">
        <v>25000.0</v>
      </c>
      <c r="BB77" s="9"/>
      <c r="BC77" s="10"/>
      <c r="BD77" s="264">
        <v>25000.0</v>
      </c>
      <c r="BE77" s="9"/>
      <c r="BF77" s="10"/>
      <c r="BG77" s="264">
        <v>25000.0</v>
      </c>
      <c r="BH77" s="9"/>
      <c r="BI77" s="10"/>
      <c r="BJ77" s="264">
        <v>50000.0</v>
      </c>
      <c r="BK77" s="9"/>
      <c r="BL77" s="10"/>
      <c r="BM77" s="264"/>
      <c r="BN77" s="9"/>
      <c r="BO77" s="10"/>
      <c r="BP77" s="264"/>
      <c r="BQ77" s="9"/>
      <c r="BR77" s="10"/>
      <c r="BS77" s="264"/>
      <c r="BT77" s="9"/>
      <c r="BU77" s="10"/>
      <c r="BV77" s="264"/>
      <c r="BW77" s="9"/>
      <c r="BX77" s="10"/>
      <c r="BY77" s="264"/>
      <c r="BZ77" s="9"/>
      <c r="CA77" s="10"/>
      <c r="CB77" s="264"/>
      <c r="CC77" s="9"/>
      <c r="CD77" s="10"/>
      <c r="CE77" s="264"/>
      <c r="CF77" s="9"/>
      <c r="CG77" s="10"/>
      <c r="CH77" s="264"/>
      <c r="CI77" s="9"/>
      <c r="CJ77" s="10"/>
      <c r="CK77" s="264"/>
      <c r="CL77" s="9"/>
      <c r="CM77" s="10"/>
      <c r="CN77" s="264"/>
      <c r="CO77" s="9"/>
      <c r="CP77" s="10"/>
      <c r="CQ77" s="220"/>
      <c r="CR77" s="249"/>
      <c r="CS77" s="12"/>
      <c r="CT77" s="13"/>
      <c r="CU77" s="250" t="s">
        <v>28</v>
      </c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3"/>
      <c r="DH77" s="251">
        <f t="shared" si="25"/>
        <v>0</v>
      </c>
      <c r="DI77" s="12"/>
      <c r="DJ77" s="13"/>
      <c r="DK77" s="252">
        <v>80.0</v>
      </c>
      <c r="DL77" s="12"/>
      <c r="DM77" s="13"/>
      <c r="DN77" s="253">
        <f t="shared" si="26"/>
        <v>0</v>
      </c>
      <c r="DO77" s="12"/>
      <c r="DP77" s="13"/>
      <c r="DQ77" s="251">
        <f t="shared" ref="DQ77:DQ80" si="27">IF(DH77&lt;DK77,DH77,IF(DH77&gt;=DK77,DK77))</f>
        <v>0</v>
      </c>
      <c r="DR77" s="12"/>
      <c r="DS77" s="13"/>
      <c r="DT77" s="254">
        <f t="shared" ref="DT77:DT80" si="28">DQ77*100/DK77</f>
        <v>0</v>
      </c>
      <c r="DU77" s="12"/>
      <c r="DV77" s="13"/>
      <c r="DW77" s="255" t="str">
        <f>(DK77-DH77)/'График'!AK48</f>
        <v>#DIV/0!</v>
      </c>
      <c r="DX77" s="12"/>
      <c r="DY77" s="13"/>
      <c r="EA77" s="256" t="s">
        <v>29</v>
      </c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6"/>
      <c r="EO77" s="257" t="str">
        <f>DH79*100/DH76</f>
        <v>#DIV/0!</v>
      </c>
      <c r="EP77" s="16"/>
      <c r="EQ77" s="257" t="str">
        <f>((DH78*100/DH76)+EO59)/2</f>
        <v>#DIV/0!</v>
      </c>
      <c r="ER77" s="16"/>
      <c r="ET77" s="265" t="s">
        <v>30</v>
      </c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9"/>
      <c r="FJ77" s="259">
        <f>sum(DN79,DN80,DN82)</f>
        <v>6000</v>
      </c>
      <c r="FK77" s="18"/>
      <c r="FL77" s="19"/>
      <c r="FN77" s="260"/>
      <c r="FY77" s="261"/>
      <c r="FZ77" s="260"/>
      <c r="GA77" s="261"/>
      <c r="GB77" s="262"/>
      <c r="GC77" s="262"/>
      <c r="GD77" s="262"/>
      <c r="GE77" s="262"/>
      <c r="GF77" s="262"/>
      <c r="GG77" s="262"/>
      <c r="GH77" s="262"/>
      <c r="GI77" s="262"/>
      <c r="GJ77" s="262"/>
      <c r="GK77" s="262"/>
      <c r="GL77" s="262"/>
      <c r="GM77" s="262"/>
      <c r="GN77" s="262"/>
      <c r="GO77" s="262"/>
      <c r="GP77" s="262"/>
      <c r="GQ77" s="262"/>
      <c r="GR77" s="262"/>
      <c r="GS77" s="262"/>
      <c r="GT77" s="262"/>
      <c r="GU77" s="262"/>
      <c r="GV77" s="262"/>
      <c r="GW77" s="262"/>
      <c r="GX77" s="262"/>
      <c r="GY77" s="262"/>
      <c r="GZ77" s="262"/>
      <c r="HA77" s="262"/>
      <c r="HB77" s="262"/>
      <c r="HC77" s="262"/>
      <c r="HD77" s="262"/>
      <c r="HE77" s="262"/>
      <c r="HF77" s="262"/>
      <c r="HG77" s="260"/>
      <c r="HI77" s="261"/>
      <c r="HJ77" s="35"/>
    </row>
    <row r="78" ht="15.0" customHeight="1">
      <c r="A78" s="54"/>
      <c r="B78" s="245"/>
      <c r="D78" s="57"/>
      <c r="E78" s="39"/>
      <c r="F78" s="39"/>
      <c r="G78" s="39"/>
      <c r="H78" s="39"/>
      <c r="I78" s="39"/>
      <c r="J78" s="39"/>
      <c r="K78" s="39"/>
      <c r="L78" s="40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T78" s="266" t="s">
        <v>31</v>
      </c>
      <c r="AU78" s="9"/>
      <c r="AV78" s="9"/>
      <c r="AW78" s="10"/>
      <c r="AX78" s="267">
        <v>1.0</v>
      </c>
      <c r="AY78" s="9"/>
      <c r="AZ78" s="10"/>
      <c r="BA78" s="267">
        <v>2.0</v>
      </c>
      <c r="BB78" s="9"/>
      <c r="BC78" s="10"/>
      <c r="BD78" s="267">
        <v>3.0</v>
      </c>
      <c r="BE78" s="9"/>
      <c r="BF78" s="10"/>
      <c r="BG78" s="267">
        <v>4.0</v>
      </c>
      <c r="BH78" s="9"/>
      <c r="BI78" s="10"/>
      <c r="BJ78" s="267"/>
      <c r="BK78" s="9"/>
      <c r="BL78" s="10"/>
      <c r="BM78" s="267"/>
      <c r="BN78" s="9"/>
      <c r="BO78" s="10"/>
      <c r="BP78" s="267"/>
      <c r="BQ78" s="9"/>
      <c r="BR78" s="10"/>
      <c r="BS78" s="267"/>
      <c r="BT78" s="9"/>
      <c r="BU78" s="10"/>
      <c r="BV78" s="267"/>
      <c r="BW78" s="9"/>
      <c r="BX78" s="10"/>
      <c r="BY78" s="267"/>
      <c r="BZ78" s="9"/>
      <c r="CA78" s="10"/>
      <c r="CB78" s="267"/>
      <c r="CC78" s="9"/>
      <c r="CD78" s="10"/>
      <c r="CE78" s="267"/>
      <c r="CF78" s="9"/>
      <c r="CG78" s="10"/>
      <c r="CH78" s="267"/>
      <c r="CI78" s="9"/>
      <c r="CJ78" s="10"/>
      <c r="CK78" s="267"/>
      <c r="CL78" s="9"/>
      <c r="CM78" s="10"/>
      <c r="CN78" s="267"/>
      <c r="CO78" s="9"/>
      <c r="CP78" s="10"/>
      <c r="CQ78" s="220"/>
      <c r="CR78" s="249"/>
      <c r="CS78" s="12"/>
      <c r="CT78" s="13"/>
      <c r="CU78" s="268" t="s">
        <v>32</v>
      </c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3"/>
      <c r="DH78" s="251">
        <f t="shared" si="25"/>
        <v>0</v>
      </c>
      <c r="DI78" s="12"/>
      <c r="DJ78" s="13"/>
      <c r="DK78" s="252">
        <v>5.0</v>
      </c>
      <c r="DL78" s="12"/>
      <c r="DM78" s="13"/>
      <c r="DN78" s="253">
        <f t="shared" si="26"/>
        <v>0</v>
      </c>
      <c r="DO78" s="12"/>
      <c r="DP78" s="13"/>
      <c r="DQ78" s="251">
        <f t="shared" si="27"/>
        <v>0</v>
      </c>
      <c r="DR78" s="12"/>
      <c r="DS78" s="13"/>
      <c r="DT78" s="254">
        <f t="shared" si="28"/>
        <v>0</v>
      </c>
      <c r="DU78" s="12"/>
      <c r="DV78" s="13"/>
      <c r="DW78" s="255" t="str">
        <f>(DK78-DH78)/'График'!AK48</f>
        <v>#DIV/0!</v>
      </c>
      <c r="DX78" s="12"/>
      <c r="DY78" s="13"/>
      <c r="EA78" s="269" t="s">
        <v>33</v>
      </c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6"/>
      <c r="EO78" s="257" t="str">
        <f>DH80*100/DH76</f>
        <v>#DIV/0!</v>
      </c>
      <c r="EP78" s="16"/>
      <c r="EQ78" s="257" t="str">
        <f>((DH80*100/DH76)+EO60)/2</f>
        <v>#DIV/0!</v>
      </c>
      <c r="ER78" s="16"/>
      <c r="ET78" s="265" t="s">
        <v>34</v>
      </c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9"/>
      <c r="FJ78" s="270">
        <f>sum(DT79,DT80,DT82)/3</f>
        <v>20</v>
      </c>
      <c r="FK78" s="18"/>
      <c r="FL78" s="19"/>
      <c r="FN78" s="271"/>
      <c r="FO78" s="272"/>
      <c r="FP78" s="272"/>
      <c r="FQ78" s="272"/>
      <c r="FR78" s="272"/>
      <c r="FS78" s="272"/>
      <c r="FT78" s="272"/>
      <c r="FU78" s="272"/>
      <c r="FV78" s="272"/>
      <c r="FW78" s="272"/>
      <c r="FX78" s="272"/>
      <c r="FY78" s="273"/>
      <c r="FZ78" s="271"/>
      <c r="GA78" s="273"/>
      <c r="GB78" s="274"/>
      <c r="GC78" s="274"/>
      <c r="GD78" s="274"/>
      <c r="GE78" s="274"/>
      <c r="GF78" s="274"/>
      <c r="GG78" s="274"/>
      <c r="GH78" s="274"/>
      <c r="GI78" s="274"/>
      <c r="GJ78" s="274"/>
      <c r="GK78" s="274"/>
      <c r="GL78" s="274"/>
      <c r="GM78" s="274"/>
      <c r="GN78" s="274"/>
      <c r="GO78" s="274"/>
      <c r="GP78" s="274"/>
      <c r="GQ78" s="274"/>
      <c r="GR78" s="274"/>
      <c r="GS78" s="274"/>
      <c r="GT78" s="274"/>
      <c r="GU78" s="274"/>
      <c r="GV78" s="274"/>
      <c r="GW78" s="274"/>
      <c r="GX78" s="274"/>
      <c r="GY78" s="274"/>
      <c r="GZ78" s="274"/>
      <c r="HA78" s="274"/>
      <c r="HB78" s="274"/>
      <c r="HC78" s="274"/>
      <c r="HD78" s="274"/>
      <c r="HE78" s="274"/>
      <c r="HF78" s="274"/>
      <c r="HG78" s="271"/>
      <c r="HH78" s="272"/>
      <c r="HI78" s="273"/>
      <c r="HJ78" s="35"/>
    </row>
    <row r="79" ht="15.0" customHeight="1">
      <c r="A79" s="54"/>
      <c r="B79" s="245"/>
      <c r="D79" s="275" t="s">
        <v>35</v>
      </c>
      <c r="E79" s="5"/>
      <c r="F79" s="5"/>
      <c r="G79" s="5"/>
      <c r="H79" s="5"/>
      <c r="I79" s="5"/>
      <c r="J79" s="5"/>
      <c r="K79" s="5"/>
      <c r="L79" s="5"/>
      <c r="M79" s="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276"/>
      <c r="AI79" s="276"/>
      <c r="AJ79" s="276"/>
      <c r="AK79" s="276"/>
      <c r="AL79" s="276"/>
      <c r="AM79" s="276"/>
      <c r="AN79" s="276"/>
      <c r="AO79" s="276"/>
      <c r="AP79" s="276"/>
      <c r="AQ79" s="276"/>
      <c r="AR79" s="276"/>
      <c r="AT79" s="277" t="s">
        <v>36</v>
      </c>
      <c r="AU79" s="9"/>
      <c r="AV79" s="10"/>
      <c r="AW79" s="278" t="s">
        <v>37</v>
      </c>
      <c r="AX79" s="279">
        <v>5.0</v>
      </c>
      <c r="AY79" s="9"/>
      <c r="AZ79" s="10"/>
      <c r="BA79" s="279">
        <v>5.0</v>
      </c>
      <c r="BB79" s="9"/>
      <c r="BC79" s="10"/>
      <c r="BD79" s="279">
        <v>5.0</v>
      </c>
      <c r="BE79" s="9"/>
      <c r="BF79" s="10"/>
      <c r="BG79" s="279">
        <v>5.0</v>
      </c>
      <c r="BH79" s="9"/>
      <c r="BI79" s="10"/>
      <c r="BJ79" s="279">
        <v>5.0</v>
      </c>
      <c r="BK79" s="9"/>
      <c r="BL79" s="10"/>
      <c r="BM79" s="279">
        <v>10.0</v>
      </c>
      <c r="BN79" s="9"/>
      <c r="BO79" s="10"/>
      <c r="BP79" s="279">
        <v>10.0</v>
      </c>
      <c r="BQ79" s="9"/>
      <c r="BR79" s="10"/>
      <c r="BS79" s="279">
        <v>10.0</v>
      </c>
      <c r="BT79" s="9"/>
      <c r="BU79" s="10"/>
      <c r="BV79" s="279">
        <v>10.0</v>
      </c>
      <c r="BW79" s="9"/>
      <c r="BX79" s="10"/>
      <c r="BY79" s="279">
        <v>10.0</v>
      </c>
      <c r="BZ79" s="9"/>
      <c r="CA79" s="10"/>
      <c r="CB79" s="279">
        <v>10.0</v>
      </c>
      <c r="CC79" s="9"/>
      <c r="CD79" s="10"/>
      <c r="CE79" s="279">
        <v>10.0</v>
      </c>
      <c r="CF79" s="9"/>
      <c r="CG79" s="10"/>
      <c r="CH79" s="279">
        <v>10.0</v>
      </c>
      <c r="CI79" s="9"/>
      <c r="CJ79" s="10"/>
      <c r="CK79" s="279">
        <v>10.0</v>
      </c>
      <c r="CL79" s="9"/>
      <c r="CM79" s="10"/>
      <c r="CN79" s="279">
        <v>10.0</v>
      </c>
      <c r="CO79" s="9"/>
      <c r="CP79" s="10"/>
      <c r="CQ79" s="220"/>
      <c r="CR79" s="249">
        <v>10000.0</v>
      </c>
      <c r="CS79" s="12"/>
      <c r="CT79" s="13"/>
      <c r="CU79" s="268" t="s">
        <v>38</v>
      </c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3"/>
      <c r="DH79" s="251">
        <f t="shared" si="25"/>
        <v>3</v>
      </c>
      <c r="DI79" s="12"/>
      <c r="DJ79" s="13"/>
      <c r="DK79" s="252">
        <v>5.0</v>
      </c>
      <c r="DL79" s="12"/>
      <c r="DM79" s="13"/>
      <c r="DN79" s="253">
        <f t="shared" si="26"/>
        <v>6000</v>
      </c>
      <c r="DO79" s="12"/>
      <c r="DP79" s="13"/>
      <c r="DQ79" s="251">
        <f t="shared" si="27"/>
        <v>3</v>
      </c>
      <c r="DR79" s="12"/>
      <c r="DS79" s="13"/>
      <c r="DT79" s="254">
        <f t="shared" si="28"/>
        <v>60</v>
      </c>
      <c r="DU79" s="12"/>
      <c r="DV79" s="13"/>
      <c r="DW79" s="255" t="str">
        <f>(DK79-DH79)/'График'!AK48</f>
        <v>#DIV/0!</v>
      </c>
      <c r="DX79" s="12"/>
      <c r="DY79" s="13"/>
      <c r="EA79" s="256" t="s">
        <v>39</v>
      </c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6"/>
      <c r="EO79" s="257" t="str">
        <f>DH78*100/DH77</f>
        <v>#DIV/0!</v>
      </c>
      <c r="EP79" s="16"/>
      <c r="EQ79" s="257" t="str">
        <f>((DH78*100/DH77)+EO61)/2</f>
        <v>#DIV/0!</v>
      </c>
      <c r="ER79" s="16"/>
      <c r="ET79" s="258" t="s">
        <v>40</v>
      </c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9"/>
      <c r="FJ79" s="259">
        <f>sum(AX88:CP88)</f>
        <v>10000</v>
      </c>
      <c r="FK79" s="18"/>
      <c r="FL79" s="19"/>
      <c r="FN79" s="280" t="s">
        <v>41</v>
      </c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2"/>
      <c r="FZ79" s="281">
        <v>200.0</v>
      </c>
      <c r="GA79" s="22"/>
      <c r="GB79" s="282"/>
      <c r="GC79" s="283"/>
      <c r="GD79" s="282"/>
      <c r="GE79" s="283"/>
      <c r="GF79" s="283"/>
      <c r="GG79" s="282"/>
      <c r="GH79" s="283"/>
      <c r="GI79" s="283"/>
      <c r="GJ79" s="283"/>
      <c r="GK79" s="282"/>
      <c r="GL79" s="282"/>
      <c r="GM79" s="283"/>
      <c r="GN79" s="282"/>
      <c r="GO79" s="283"/>
      <c r="GP79" s="283"/>
      <c r="GQ79" s="282"/>
      <c r="GR79" s="282"/>
      <c r="GS79" s="283"/>
      <c r="GT79" s="283"/>
      <c r="GU79" s="282"/>
      <c r="GV79" s="283"/>
      <c r="GW79" s="283"/>
      <c r="GX79" s="283"/>
      <c r="GY79" s="282"/>
      <c r="GZ79" s="283"/>
      <c r="HA79" s="283"/>
      <c r="HB79" s="283"/>
      <c r="HC79" s="282"/>
      <c r="HD79" s="283"/>
      <c r="HE79" s="283"/>
      <c r="HF79" s="284"/>
      <c r="HG79" s="285">
        <f t="shared" ref="HG79:HG84" si="29">sum(GB79:HF79)*FZ79</f>
        <v>0</v>
      </c>
      <c r="HH79" s="240"/>
      <c r="HI79" s="241"/>
      <c r="HJ79" s="35"/>
    </row>
    <row r="80" ht="15.0" customHeight="1">
      <c r="A80" s="54"/>
      <c r="B80" s="245"/>
      <c r="D80" s="286" t="s">
        <v>42</v>
      </c>
      <c r="E80" s="5"/>
      <c r="F80" s="5"/>
      <c r="G80" s="5"/>
      <c r="H80" s="5"/>
      <c r="I80" s="5"/>
      <c r="J80" s="5"/>
      <c r="K80" s="5"/>
      <c r="L80" s="5"/>
      <c r="M80" s="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T80" s="287">
        <f>SUM(AX80:CO80)</f>
        <v>7500</v>
      </c>
      <c r="AU80" s="9"/>
      <c r="AV80" s="9"/>
      <c r="AW80" s="10"/>
      <c r="AX80" s="288">
        <f>(AX77*AX79)/100</f>
        <v>1250</v>
      </c>
      <c r="AY80" s="9"/>
      <c r="AZ80" s="10"/>
      <c r="BA80" s="288">
        <f>(BA77*BA79)/100</f>
        <v>1250</v>
      </c>
      <c r="BB80" s="9"/>
      <c r="BC80" s="10"/>
      <c r="BD80" s="288">
        <f>(BD77*BD79)/100</f>
        <v>1250</v>
      </c>
      <c r="BE80" s="9"/>
      <c r="BF80" s="10"/>
      <c r="BG80" s="288">
        <f>(BG77*BG79)/100</f>
        <v>1250</v>
      </c>
      <c r="BH80" s="9"/>
      <c r="BI80" s="10"/>
      <c r="BJ80" s="288">
        <f>(BJ77*BJ79)/100</f>
        <v>2500</v>
      </c>
      <c r="BK80" s="9"/>
      <c r="BL80" s="10"/>
      <c r="BM80" s="288">
        <f>(BM77*BM79)/100</f>
        <v>0</v>
      </c>
      <c r="BN80" s="9"/>
      <c r="BO80" s="10"/>
      <c r="BP80" s="288">
        <f>(BP77*BP79)/100</f>
        <v>0</v>
      </c>
      <c r="BQ80" s="9"/>
      <c r="BR80" s="10"/>
      <c r="BS80" s="288">
        <f>(BS77*BS79)/100</f>
        <v>0</v>
      </c>
      <c r="BT80" s="9"/>
      <c r="BU80" s="10"/>
      <c r="BV80" s="288">
        <f>(BV77*BV79)/100</f>
        <v>0</v>
      </c>
      <c r="BW80" s="9"/>
      <c r="BX80" s="10"/>
      <c r="BY80" s="288">
        <f>(BY77*BY79)/100</f>
        <v>0</v>
      </c>
      <c r="BZ80" s="9"/>
      <c r="CA80" s="10"/>
      <c r="CB80" s="288">
        <f>(CB77*CB79)/100</f>
        <v>0</v>
      </c>
      <c r="CC80" s="9"/>
      <c r="CD80" s="10"/>
      <c r="CE80" s="288">
        <f>(CE77*CE79)/100</f>
        <v>0</v>
      </c>
      <c r="CF80" s="9"/>
      <c r="CG80" s="10"/>
      <c r="CH80" s="288">
        <f>(CH77*CH79)/100</f>
        <v>0</v>
      </c>
      <c r="CI80" s="9"/>
      <c r="CJ80" s="10"/>
      <c r="CK80" s="288">
        <f>(CK77*CK79)/100</f>
        <v>0</v>
      </c>
      <c r="CL80" s="9"/>
      <c r="CM80" s="10"/>
      <c r="CN80" s="288">
        <f>(CN77*CN79)/100</f>
        <v>0</v>
      </c>
      <c r="CO80" s="9"/>
      <c r="CP80" s="10"/>
      <c r="CQ80" s="220"/>
      <c r="CR80" s="249">
        <v>2500.0</v>
      </c>
      <c r="CS80" s="12"/>
      <c r="CT80" s="13"/>
      <c r="CU80" s="250" t="s">
        <v>43</v>
      </c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3"/>
      <c r="DH80" s="251">
        <f t="shared" si="25"/>
        <v>0</v>
      </c>
      <c r="DI80" s="12"/>
      <c r="DJ80" s="13"/>
      <c r="DK80" s="252">
        <v>1.0</v>
      </c>
      <c r="DL80" s="12"/>
      <c r="DM80" s="13"/>
      <c r="DN80" s="253">
        <f t="shared" si="26"/>
        <v>0</v>
      </c>
      <c r="DO80" s="12"/>
      <c r="DP80" s="13"/>
      <c r="DQ80" s="251">
        <f t="shared" si="27"/>
        <v>0</v>
      </c>
      <c r="DR80" s="12"/>
      <c r="DS80" s="13"/>
      <c r="DT80" s="254">
        <f t="shared" si="28"/>
        <v>0</v>
      </c>
      <c r="DU80" s="12"/>
      <c r="DV80" s="13"/>
      <c r="DW80" s="255" t="str">
        <f>(DK80-DH80)/'График'!AK48</f>
        <v>#DIV/0!</v>
      </c>
      <c r="DX80" s="12"/>
      <c r="DY80" s="13"/>
      <c r="EA80" s="256" t="s">
        <v>44</v>
      </c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6"/>
      <c r="EO80" s="257" t="str">
        <f>DH79*100/DH77</f>
        <v>#DIV/0!</v>
      </c>
      <c r="EP80" s="16"/>
      <c r="EQ80" s="257" t="str">
        <f>((DH79*100/DH77)+EO62)/2</f>
        <v>#DIV/0!</v>
      </c>
      <c r="ER80" s="16"/>
      <c r="ET80" s="258" t="s">
        <v>45</v>
      </c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9"/>
      <c r="FJ80" s="259">
        <f>AT80</f>
        <v>7500</v>
      </c>
      <c r="FK80" s="18"/>
      <c r="FL80" s="19"/>
      <c r="FN80" s="280" t="s">
        <v>46</v>
      </c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2"/>
      <c r="FZ80" s="281">
        <v>200.0</v>
      </c>
      <c r="GA80" s="22"/>
      <c r="GB80" s="282"/>
      <c r="GC80" s="283"/>
      <c r="GD80" s="282"/>
      <c r="GE80" s="283"/>
      <c r="GF80" s="283"/>
      <c r="GG80" s="283"/>
      <c r="GH80" s="283"/>
      <c r="GI80" s="282"/>
      <c r="GJ80" s="283"/>
      <c r="GK80" s="283"/>
      <c r="GL80" s="283"/>
      <c r="GM80" s="283"/>
      <c r="GN80" s="283"/>
      <c r="GO80" s="283"/>
      <c r="GP80" s="283"/>
      <c r="GQ80" s="283"/>
      <c r="GR80" s="283"/>
      <c r="GS80" s="283"/>
      <c r="GT80" s="283"/>
      <c r="GU80" s="283"/>
      <c r="GV80" s="283"/>
      <c r="GW80" s="283"/>
      <c r="GX80" s="283"/>
      <c r="GY80" s="283"/>
      <c r="GZ80" s="283"/>
      <c r="HA80" s="283"/>
      <c r="HB80" s="283"/>
      <c r="HC80" s="283"/>
      <c r="HD80" s="283"/>
      <c r="HE80" s="283"/>
      <c r="HF80" s="289"/>
      <c r="HG80" s="290">
        <f t="shared" si="29"/>
        <v>0</v>
      </c>
      <c r="HH80" s="291"/>
      <c r="HI80" s="292"/>
      <c r="HJ80" s="35"/>
    </row>
    <row r="81" ht="15.0" customHeight="1">
      <c r="A81" s="54"/>
      <c r="B81" s="245"/>
      <c r="D81" s="293" t="s">
        <v>32</v>
      </c>
      <c r="E81" s="5"/>
      <c r="F81" s="5"/>
      <c r="G81" s="5"/>
      <c r="H81" s="5"/>
      <c r="I81" s="5"/>
      <c r="J81" s="5"/>
      <c r="K81" s="5"/>
      <c r="L81" s="5"/>
      <c r="M81" s="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276"/>
      <c r="AI81" s="276"/>
      <c r="AJ81" s="276"/>
      <c r="AK81" s="276"/>
      <c r="AL81" s="276"/>
      <c r="AM81" s="276"/>
      <c r="AN81" s="276"/>
      <c r="AO81" s="276"/>
      <c r="AP81" s="276"/>
      <c r="AQ81" s="276"/>
      <c r="AR81" s="276"/>
      <c r="AT81" s="277" t="s">
        <v>47</v>
      </c>
      <c r="AU81" s="9"/>
      <c r="AV81" s="10"/>
      <c r="AW81" s="278" t="s">
        <v>37</v>
      </c>
      <c r="AX81" s="279"/>
      <c r="AY81" s="9"/>
      <c r="AZ81" s="10"/>
      <c r="BA81" s="279">
        <v>5.0</v>
      </c>
      <c r="BB81" s="9"/>
      <c r="BC81" s="10"/>
      <c r="BD81" s="279">
        <v>5.0</v>
      </c>
      <c r="BE81" s="9"/>
      <c r="BF81" s="10"/>
      <c r="BG81" s="279">
        <v>5.0</v>
      </c>
      <c r="BH81" s="9"/>
      <c r="BI81" s="10"/>
      <c r="BJ81" s="279">
        <v>5.0</v>
      </c>
      <c r="BK81" s="9"/>
      <c r="BL81" s="10"/>
      <c r="BM81" s="279">
        <v>5.0</v>
      </c>
      <c r="BN81" s="9"/>
      <c r="BO81" s="10"/>
      <c r="BP81" s="279">
        <v>5.0</v>
      </c>
      <c r="BQ81" s="9"/>
      <c r="BR81" s="10"/>
      <c r="BS81" s="279">
        <v>5.0</v>
      </c>
      <c r="BT81" s="9"/>
      <c r="BU81" s="10"/>
      <c r="BV81" s="279">
        <v>5.0</v>
      </c>
      <c r="BW81" s="9"/>
      <c r="BX81" s="10"/>
      <c r="BY81" s="279">
        <v>5.0</v>
      </c>
      <c r="BZ81" s="9"/>
      <c r="CA81" s="10"/>
      <c r="CB81" s="279">
        <v>5.0</v>
      </c>
      <c r="CC81" s="9"/>
      <c r="CD81" s="10"/>
      <c r="CE81" s="279">
        <v>5.0</v>
      </c>
      <c r="CF81" s="9"/>
      <c r="CG81" s="10"/>
      <c r="CH81" s="279">
        <v>5.0</v>
      </c>
      <c r="CI81" s="9"/>
      <c r="CJ81" s="10"/>
      <c r="CK81" s="279">
        <v>5.0</v>
      </c>
      <c r="CL81" s="9"/>
      <c r="CM81" s="10"/>
      <c r="CN81" s="279">
        <v>5.0</v>
      </c>
      <c r="CO81" s="9"/>
      <c r="CP81" s="10"/>
      <c r="CQ81" s="220"/>
      <c r="CR81" s="249"/>
      <c r="CS81" s="12"/>
      <c r="CT81" s="13"/>
      <c r="CU81" s="268" t="s">
        <v>48</v>
      </c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3"/>
      <c r="DH81" s="251">
        <f t="shared" si="25"/>
        <v>0</v>
      </c>
      <c r="DI81" s="12"/>
      <c r="DJ81" s="13"/>
      <c r="DK81" s="252">
        <v>0.0</v>
      </c>
      <c r="DL81" s="12"/>
      <c r="DM81" s="13"/>
      <c r="DN81" s="253">
        <f t="shared" si="26"/>
        <v>0</v>
      </c>
      <c r="DO81" s="12"/>
      <c r="DP81" s="13"/>
      <c r="DQ81" s="251">
        <v>0.0</v>
      </c>
      <c r="DR81" s="12"/>
      <c r="DS81" s="13"/>
      <c r="DT81" s="254">
        <v>0.0</v>
      </c>
      <c r="DU81" s="12"/>
      <c r="DV81" s="13"/>
      <c r="DW81" s="255" t="str">
        <f>(DK81-DH81)/'График'!AK48</f>
        <v>#DIV/0!</v>
      </c>
      <c r="DX81" s="12"/>
      <c r="DY81" s="13"/>
      <c r="EA81" s="269" t="s">
        <v>49</v>
      </c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6"/>
      <c r="EO81" s="257" t="str">
        <f>DH80*100/DH77</f>
        <v>#DIV/0!</v>
      </c>
      <c r="EP81" s="16"/>
      <c r="EQ81" s="257" t="str">
        <f>((DH80*100/DH77)+EO63)/2</f>
        <v>#DIV/0!</v>
      </c>
      <c r="ER81" s="16"/>
      <c r="ET81" s="258" t="s">
        <v>50</v>
      </c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9"/>
      <c r="FJ81" s="259">
        <f>AT82</f>
        <v>6250</v>
      </c>
      <c r="FK81" s="18"/>
      <c r="FL81" s="19"/>
      <c r="FN81" s="280" t="s">
        <v>51</v>
      </c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2"/>
      <c r="FZ81" s="281">
        <v>500.0</v>
      </c>
      <c r="GA81" s="22"/>
      <c r="GB81" s="282"/>
      <c r="GC81" s="283"/>
      <c r="GD81" s="283"/>
      <c r="GE81" s="283"/>
      <c r="GF81" s="283"/>
      <c r="GG81" s="283"/>
      <c r="GH81" s="283"/>
      <c r="GI81" s="282"/>
      <c r="GJ81" s="283"/>
      <c r="GK81" s="283"/>
      <c r="GL81" s="283"/>
      <c r="GM81" s="283"/>
      <c r="GN81" s="283"/>
      <c r="GO81" s="283"/>
      <c r="GP81" s="283"/>
      <c r="GQ81" s="283"/>
      <c r="GR81" s="283"/>
      <c r="GS81" s="283"/>
      <c r="GT81" s="283"/>
      <c r="GU81" s="283"/>
      <c r="GV81" s="283"/>
      <c r="GW81" s="283"/>
      <c r="GX81" s="283"/>
      <c r="GY81" s="283"/>
      <c r="GZ81" s="283"/>
      <c r="HA81" s="283"/>
      <c r="HB81" s="283"/>
      <c r="HC81" s="283"/>
      <c r="HD81" s="283"/>
      <c r="HE81" s="283"/>
      <c r="HF81" s="284"/>
      <c r="HG81" s="290">
        <f t="shared" si="29"/>
        <v>0</v>
      </c>
      <c r="HH81" s="291"/>
      <c r="HI81" s="292"/>
      <c r="HJ81" s="35"/>
    </row>
    <row r="82" ht="15.0" customHeight="1">
      <c r="A82" s="54"/>
      <c r="B82" s="245"/>
      <c r="D82" s="293" t="s">
        <v>38</v>
      </c>
      <c r="E82" s="5"/>
      <c r="F82" s="5"/>
      <c r="G82" s="5"/>
      <c r="H82" s="5"/>
      <c r="I82" s="5"/>
      <c r="J82" s="5"/>
      <c r="K82" s="5"/>
      <c r="L82" s="5"/>
      <c r="M82" s="6"/>
      <c r="N82" s="276">
        <v>3.0</v>
      </c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  <c r="AG82" s="276"/>
      <c r="AH82" s="276"/>
      <c r="AI82" s="276"/>
      <c r="AJ82" s="276"/>
      <c r="AK82" s="276"/>
      <c r="AL82" s="276"/>
      <c r="AM82" s="276"/>
      <c r="AN82" s="276"/>
      <c r="AO82" s="276"/>
      <c r="AP82" s="276"/>
      <c r="AQ82" s="276"/>
      <c r="AR82" s="276"/>
      <c r="AT82" s="287">
        <f>SUM(AX82:CO82)</f>
        <v>6250</v>
      </c>
      <c r="AU82" s="9"/>
      <c r="AV82" s="9"/>
      <c r="AW82" s="10"/>
      <c r="AX82" s="294">
        <f>(AX77*AX81)/100</f>
        <v>0</v>
      </c>
      <c r="AY82" s="9"/>
      <c r="AZ82" s="10"/>
      <c r="BA82" s="294">
        <f>(BA77*BA81)/100</f>
        <v>1250</v>
      </c>
      <c r="BB82" s="9"/>
      <c r="BC82" s="10"/>
      <c r="BD82" s="294">
        <f>(BD77*BD81)/100</f>
        <v>1250</v>
      </c>
      <c r="BE82" s="9"/>
      <c r="BF82" s="10"/>
      <c r="BG82" s="294">
        <f>(BG77*BG81)/100</f>
        <v>1250</v>
      </c>
      <c r="BH82" s="9"/>
      <c r="BI82" s="10"/>
      <c r="BJ82" s="294">
        <f>(BJ77*BJ81)/100</f>
        <v>2500</v>
      </c>
      <c r="BK82" s="9"/>
      <c r="BL82" s="10"/>
      <c r="BM82" s="294">
        <f>(BM77*BM81)/100</f>
        <v>0</v>
      </c>
      <c r="BN82" s="9"/>
      <c r="BO82" s="10"/>
      <c r="BP82" s="294">
        <f>(BP77*BP81)/100</f>
        <v>0</v>
      </c>
      <c r="BQ82" s="9"/>
      <c r="BR82" s="10"/>
      <c r="BS82" s="294">
        <f>(BS77*BS81)/100</f>
        <v>0</v>
      </c>
      <c r="BT82" s="9"/>
      <c r="BU82" s="10"/>
      <c r="BV82" s="294">
        <f>(BV77*BV81)/100</f>
        <v>0</v>
      </c>
      <c r="BW82" s="9"/>
      <c r="BX82" s="10"/>
      <c r="BY82" s="294">
        <f>(BY77*BY81)/100</f>
        <v>0</v>
      </c>
      <c r="BZ82" s="9"/>
      <c r="CA82" s="10"/>
      <c r="CB82" s="294">
        <f>(CB77*CB81)/100</f>
        <v>0</v>
      </c>
      <c r="CC82" s="9"/>
      <c r="CD82" s="10"/>
      <c r="CE82" s="294">
        <f>(CE77*CE81)/100</f>
        <v>0</v>
      </c>
      <c r="CF82" s="9"/>
      <c r="CG82" s="10"/>
      <c r="CH82" s="294">
        <f>(CH77*CH81)/100</f>
        <v>0</v>
      </c>
      <c r="CI82" s="9"/>
      <c r="CJ82" s="10"/>
      <c r="CK82" s="294">
        <f>(CK77*CK81)/100</f>
        <v>0</v>
      </c>
      <c r="CL82" s="9"/>
      <c r="CM82" s="10"/>
      <c r="CN82" s="294">
        <f>(CN77*CN81)/100</f>
        <v>0</v>
      </c>
      <c r="CO82" s="9"/>
      <c r="CP82" s="10"/>
      <c r="CQ82" s="220"/>
      <c r="CR82" s="249">
        <v>2500.0</v>
      </c>
      <c r="CS82" s="12"/>
      <c r="CT82" s="13"/>
      <c r="CU82" s="268" t="s">
        <v>95</v>
      </c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3"/>
      <c r="DH82" s="253">
        <f>SUM(O85:AR85)</f>
        <v>0</v>
      </c>
      <c r="DI82" s="12"/>
      <c r="DJ82" s="13"/>
      <c r="DK82" s="295">
        <v>25000.0</v>
      </c>
      <c r="DL82" s="12"/>
      <c r="DM82" s="13"/>
      <c r="DN82" s="253">
        <f t="shared" si="26"/>
        <v>0</v>
      </c>
      <c r="DO82" s="12"/>
      <c r="DP82" s="13"/>
      <c r="DQ82" s="296">
        <f t="shared" ref="DQ82:DQ88" si="30">IF(DH82&lt;DK82,DH82,IF(DH82&gt;=DK82,DK82))</f>
        <v>0</v>
      </c>
      <c r="DR82" s="12"/>
      <c r="DS82" s="13"/>
      <c r="DT82" s="254">
        <f>DQ82*100/DK82</f>
        <v>0</v>
      </c>
      <c r="DU82" s="12"/>
      <c r="DV82" s="13"/>
      <c r="DW82" s="255" t="str">
        <f>(DK82-DH82)/'График'!AK48</f>
        <v>#DIV/0!</v>
      </c>
      <c r="DX82" s="12"/>
      <c r="DY82" s="13"/>
      <c r="EA82" s="256" t="s">
        <v>96</v>
      </c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6"/>
      <c r="EO82" s="257" t="str">
        <f>DH79*100/DH78</f>
        <v>#DIV/0!</v>
      </c>
      <c r="EP82" s="16"/>
      <c r="EQ82" s="257" t="str">
        <f>((DH79*100/DH78)+EO64)/2</f>
        <v>#DIV/0!</v>
      </c>
      <c r="ER82" s="16"/>
      <c r="ET82" s="258" t="s">
        <v>97</v>
      </c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9"/>
      <c r="FJ82" s="259">
        <f>if(FJ78&gt;79,DH82*15%,if(FJ78&lt;80,DH82*5%))</f>
        <v>0</v>
      </c>
      <c r="FK82" s="18"/>
      <c r="FL82" s="19"/>
      <c r="FN82" s="280" t="s">
        <v>55</v>
      </c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2"/>
      <c r="FZ82" s="281">
        <v>800.0</v>
      </c>
      <c r="GA82" s="22"/>
      <c r="GB82" s="282"/>
      <c r="GC82" s="282"/>
      <c r="GD82" s="283"/>
      <c r="GE82" s="282"/>
      <c r="GF82" s="282"/>
      <c r="GG82" s="282"/>
      <c r="GH82" s="282"/>
      <c r="GI82" s="282"/>
      <c r="GJ82" s="282"/>
      <c r="GK82" s="283"/>
      <c r="GL82" s="283"/>
      <c r="GM82" s="282"/>
      <c r="GN82" s="283"/>
      <c r="GO82" s="283"/>
      <c r="GP82" s="283"/>
      <c r="GQ82" s="283"/>
      <c r="GR82" s="283"/>
      <c r="GS82" s="283"/>
      <c r="GT82" s="283"/>
      <c r="GU82" s="283"/>
      <c r="GV82" s="283"/>
      <c r="GW82" s="283"/>
      <c r="GX82" s="283"/>
      <c r="GY82" s="283"/>
      <c r="GZ82" s="283"/>
      <c r="HA82" s="283"/>
      <c r="HB82" s="283"/>
      <c r="HC82" s="283"/>
      <c r="HD82" s="283"/>
      <c r="HE82" s="283"/>
      <c r="HF82" s="284"/>
      <c r="HG82" s="290">
        <f t="shared" si="29"/>
        <v>0</v>
      </c>
      <c r="HH82" s="291"/>
      <c r="HI82" s="292"/>
      <c r="HJ82" s="35"/>
    </row>
    <row r="83" ht="15.0" customHeight="1">
      <c r="A83" s="54"/>
      <c r="B83" s="245"/>
      <c r="D83" s="275" t="s">
        <v>43</v>
      </c>
      <c r="E83" s="5"/>
      <c r="F83" s="5"/>
      <c r="G83" s="5"/>
      <c r="H83" s="5"/>
      <c r="I83" s="5"/>
      <c r="J83" s="5"/>
      <c r="K83" s="5"/>
      <c r="L83" s="5"/>
      <c r="M83" s="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276"/>
      <c r="AF83" s="276"/>
      <c r="AG83" s="276"/>
      <c r="AH83" s="276"/>
      <c r="AI83" s="276"/>
      <c r="AJ83" s="276"/>
      <c r="AK83" s="276"/>
      <c r="AL83" s="276"/>
      <c r="AM83" s="276"/>
      <c r="AN83" s="276"/>
      <c r="AO83" s="276"/>
      <c r="AP83" s="276"/>
      <c r="AQ83" s="276"/>
      <c r="AR83" s="276"/>
      <c r="AT83" s="297"/>
      <c r="AU83" s="297"/>
      <c r="AV83" s="297"/>
      <c r="AW83" s="297"/>
      <c r="AX83" s="297"/>
      <c r="AY83" s="297"/>
      <c r="AZ83" s="297"/>
      <c r="BA83" s="297"/>
      <c r="BB83" s="297"/>
      <c r="BC83" s="297"/>
      <c r="BD83" s="297"/>
      <c r="BE83" s="297"/>
      <c r="BF83" s="297"/>
      <c r="BG83" s="297"/>
      <c r="BH83" s="297"/>
      <c r="BI83" s="297"/>
      <c r="BJ83" s="297"/>
      <c r="BK83" s="297"/>
      <c r="BL83" s="297"/>
      <c r="BM83" s="297"/>
      <c r="BN83" s="297"/>
      <c r="BO83" s="297"/>
      <c r="BP83" s="297"/>
      <c r="BQ83" s="297"/>
      <c r="BR83" s="297"/>
      <c r="BS83" s="297"/>
      <c r="BT83" s="297"/>
      <c r="BU83" s="297"/>
      <c r="BV83" s="297"/>
      <c r="BW83" s="297"/>
      <c r="BX83" s="297"/>
      <c r="BY83" s="297"/>
      <c r="BZ83" s="297"/>
      <c r="CA83" s="297"/>
      <c r="CB83" s="297"/>
      <c r="CC83" s="297"/>
      <c r="CD83" s="297"/>
      <c r="CE83" s="297"/>
      <c r="CF83" s="297"/>
      <c r="CG83" s="297"/>
      <c r="CH83" s="297"/>
      <c r="CI83" s="297"/>
      <c r="CJ83" s="297"/>
      <c r="CK83" s="297"/>
      <c r="CL83" s="297"/>
      <c r="CM83" s="297"/>
      <c r="CN83" s="297"/>
      <c r="CO83" s="297"/>
      <c r="CP83" s="297"/>
      <c r="CQ83" s="220"/>
      <c r="CR83" s="249">
        <v>10000.0</v>
      </c>
      <c r="CS83" s="12"/>
      <c r="CT83" s="13"/>
      <c r="CU83" s="298" t="s">
        <v>98</v>
      </c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23"/>
      <c r="DH83" s="299">
        <f>sum(DH82+'Александр'!BI82)</f>
        <v>0</v>
      </c>
      <c r="DI83" s="24"/>
      <c r="DJ83" s="223"/>
      <c r="DK83" s="300">
        <v>70000.0</v>
      </c>
      <c r="DL83" s="12"/>
      <c r="DM83" s="13"/>
      <c r="DN83" s="253">
        <f t="shared" si="26"/>
        <v>0</v>
      </c>
      <c r="DO83" s="12"/>
      <c r="DP83" s="13"/>
      <c r="DQ83" s="296">
        <f t="shared" si="30"/>
        <v>0</v>
      </c>
      <c r="DR83" s="12"/>
      <c r="DS83" s="13"/>
      <c r="DT83" s="301">
        <f t="shared" ref="DT83:DT88" si="31">DH83*100/DK83</f>
        <v>0</v>
      </c>
      <c r="DU83" s="12"/>
      <c r="DV83" s="13"/>
      <c r="DW83" s="302" t="str">
        <f>(DK83-DH83)/'График'!AK48</f>
        <v>#DIV/0!</v>
      </c>
      <c r="DX83" s="12"/>
      <c r="DY83" s="13"/>
      <c r="DZ83" s="59"/>
      <c r="EA83" s="256" t="s">
        <v>58</v>
      </c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6"/>
      <c r="EO83" s="257" t="str">
        <f>DH80*100/DH78</f>
        <v>#DIV/0!</v>
      </c>
      <c r="EP83" s="16"/>
      <c r="EQ83" s="257" t="str">
        <f>((DH80*100/DH78)+EO65)/2</f>
        <v>#DIV/0!</v>
      </c>
      <c r="ER83" s="16"/>
      <c r="ES83" s="59"/>
      <c r="ET83" s="258" t="s">
        <v>99</v>
      </c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9"/>
      <c r="FJ83" s="259">
        <f>if(FJ78&gt;79,DH82*15%,if(FJ78&lt;80,DH82*5%))+FJ77+FJ79+FJ80+FJ81</f>
        <v>29750</v>
      </c>
      <c r="FK83" s="18"/>
      <c r="FL83" s="19"/>
      <c r="FN83" s="280" t="s">
        <v>60</v>
      </c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2"/>
      <c r="FZ83" s="281">
        <v>1500.0</v>
      </c>
      <c r="GA83" s="22"/>
      <c r="GB83" s="283"/>
      <c r="GC83" s="283"/>
      <c r="GD83" s="283"/>
      <c r="GE83" s="283"/>
      <c r="GF83" s="283"/>
      <c r="GG83" s="283"/>
      <c r="GH83" s="283"/>
      <c r="GI83" s="282"/>
      <c r="GJ83" s="282"/>
      <c r="GK83" s="283"/>
      <c r="GL83" s="282"/>
      <c r="GM83" s="282"/>
      <c r="GN83" s="282"/>
      <c r="GO83" s="283"/>
      <c r="GP83" s="283"/>
      <c r="GQ83" s="283"/>
      <c r="GR83" s="283"/>
      <c r="GS83" s="283"/>
      <c r="GT83" s="283"/>
      <c r="GU83" s="283"/>
      <c r="GV83" s="283"/>
      <c r="GW83" s="283"/>
      <c r="GX83" s="283"/>
      <c r="GY83" s="283"/>
      <c r="GZ83" s="283"/>
      <c r="HA83" s="282"/>
      <c r="HB83" s="283"/>
      <c r="HC83" s="283"/>
      <c r="HD83" s="283"/>
      <c r="HE83" s="283"/>
      <c r="HF83" s="284"/>
      <c r="HG83" s="290">
        <f t="shared" si="29"/>
        <v>0</v>
      </c>
      <c r="HH83" s="291"/>
      <c r="HI83" s="292"/>
      <c r="HJ83" s="35"/>
    </row>
    <row r="84" ht="15.0" customHeight="1">
      <c r="A84" s="54"/>
      <c r="B84" s="245"/>
      <c r="D84" s="293" t="s">
        <v>48</v>
      </c>
      <c r="E84" s="5"/>
      <c r="F84" s="5"/>
      <c r="G84" s="5"/>
      <c r="H84" s="5"/>
      <c r="I84" s="5"/>
      <c r="J84" s="5"/>
      <c r="K84" s="5"/>
      <c r="L84" s="5"/>
      <c r="M84" s="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  <c r="AG84" s="276"/>
      <c r="AH84" s="276"/>
      <c r="AI84" s="276"/>
      <c r="AJ84" s="276"/>
      <c r="AK84" s="276"/>
      <c r="AL84" s="276"/>
      <c r="AM84" s="276"/>
      <c r="AN84" s="276"/>
      <c r="AO84" s="276"/>
      <c r="AP84" s="276"/>
      <c r="AQ84" s="276"/>
      <c r="AR84" s="276"/>
      <c r="AT84" s="303" t="s">
        <v>56</v>
      </c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10"/>
      <c r="CQ84" s="220"/>
      <c r="CR84" s="249"/>
      <c r="CS84" s="12"/>
      <c r="CT84" s="13"/>
      <c r="CU84" s="298" t="s">
        <v>100</v>
      </c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23"/>
      <c r="DH84" s="299">
        <f>sum(AX87:CP87)</f>
        <v>50000</v>
      </c>
      <c r="DI84" s="24"/>
      <c r="DJ84" s="223"/>
      <c r="DK84" s="300">
        <v>0.0</v>
      </c>
      <c r="DL84" s="12"/>
      <c r="DM84" s="13"/>
      <c r="DN84" s="253" t="str">
        <f t="shared" si="26"/>
        <v>#DIV/0!</v>
      </c>
      <c r="DO84" s="12"/>
      <c r="DP84" s="13"/>
      <c r="DQ84" s="296">
        <f t="shared" si="30"/>
        <v>0</v>
      </c>
      <c r="DR84" s="12"/>
      <c r="DS84" s="13"/>
      <c r="DT84" s="301" t="str">
        <f t="shared" si="31"/>
        <v>#DIV/0!</v>
      </c>
      <c r="DU84" s="12"/>
      <c r="DV84" s="13"/>
      <c r="DW84" s="255" t="str">
        <f>(DK84-DH84)/'График'!AK48</f>
        <v>#DIV/0!</v>
      </c>
      <c r="DX84" s="12"/>
      <c r="DY84" s="13"/>
      <c r="DZ84" s="304"/>
      <c r="EA84" s="256" t="s">
        <v>71</v>
      </c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6"/>
      <c r="EO84" s="257">
        <f>DH80*100/DH79</f>
        <v>0</v>
      </c>
      <c r="EP84" s="16"/>
      <c r="EQ84" s="257">
        <f>((DH80*100/DH79)+EO66)/2</f>
        <v>16.66666667</v>
      </c>
      <c r="ER84" s="16"/>
      <c r="ES84" s="220"/>
      <c r="ET84" s="305" t="s">
        <v>24</v>
      </c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9"/>
      <c r="FJ84" s="306">
        <f>if(DH83&gt;=DK83,FJ83+CR83,if(DH83&lt;DK83,FJ83))-HG85</f>
        <v>29750</v>
      </c>
      <c r="FK84" s="18"/>
      <c r="FL84" s="19"/>
      <c r="FM84" s="59"/>
      <c r="FN84" s="307" t="s">
        <v>72</v>
      </c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2"/>
      <c r="FZ84" s="281">
        <v>1000.0</v>
      </c>
      <c r="GA84" s="22"/>
      <c r="GB84" s="308"/>
      <c r="GC84" s="309"/>
      <c r="GD84" s="308"/>
      <c r="GE84" s="308"/>
      <c r="GF84" s="308"/>
      <c r="GG84" s="308"/>
      <c r="GH84" s="309"/>
      <c r="GI84" s="308"/>
      <c r="GJ84" s="308"/>
      <c r="GK84" s="308"/>
      <c r="GL84" s="309"/>
      <c r="GM84" s="308"/>
      <c r="GN84" s="309"/>
      <c r="GO84" s="308"/>
      <c r="GP84" s="308"/>
      <c r="GQ84" s="308"/>
      <c r="GR84" s="308"/>
      <c r="GS84" s="308"/>
      <c r="GT84" s="308"/>
      <c r="GU84" s="308"/>
      <c r="GV84" s="308"/>
      <c r="GW84" s="308"/>
      <c r="GX84" s="308"/>
      <c r="GY84" s="308"/>
      <c r="GZ84" s="308"/>
      <c r="HA84" s="308"/>
      <c r="HB84" s="308"/>
      <c r="HC84" s="308"/>
      <c r="HD84" s="308"/>
      <c r="HE84" s="310"/>
      <c r="HF84" s="311"/>
      <c r="HG84" s="290">
        <f t="shared" si="29"/>
        <v>0</v>
      </c>
      <c r="HH84" s="291"/>
      <c r="HI84" s="292"/>
      <c r="HJ84" s="35"/>
    </row>
    <row r="85" ht="15.0" customHeight="1">
      <c r="A85" s="54"/>
      <c r="B85" s="245"/>
      <c r="D85" s="312" t="s">
        <v>52</v>
      </c>
      <c r="E85" s="27"/>
      <c r="F85" s="27"/>
      <c r="G85" s="27"/>
      <c r="H85" s="27"/>
      <c r="I85" s="27"/>
      <c r="J85" s="27"/>
      <c r="K85" s="27"/>
      <c r="L85" s="27"/>
      <c r="M85" s="28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  <c r="AA85" s="313"/>
      <c r="AB85" s="313"/>
      <c r="AC85" s="313"/>
      <c r="AD85" s="313"/>
      <c r="AE85" s="313"/>
      <c r="AF85" s="313"/>
      <c r="AG85" s="313"/>
      <c r="AH85" s="313"/>
      <c r="AI85" s="313"/>
      <c r="AJ85" s="313"/>
      <c r="AK85" s="313"/>
      <c r="AL85" s="313"/>
      <c r="AM85" s="313"/>
      <c r="AN85" s="313"/>
      <c r="AO85" s="313"/>
      <c r="AP85" s="313"/>
      <c r="AQ85" s="313"/>
      <c r="AR85" s="313"/>
      <c r="AT85" s="227" t="s">
        <v>9</v>
      </c>
      <c r="AU85" s="228"/>
      <c r="AV85" s="228"/>
      <c r="AW85" s="229"/>
      <c r="AX85" s="314" t="s">
        <v>118</v>
      </c>
      <c r="AY85" s="228"/>
      <c r="AZ85" s="229"/>
      <c r="BA85" s="314" t="s">
        <v>119</v>
      </c>
      <c r="BB85" s="228"/>
      <c r="BC85" s="229"/>
      <c r="BD85" s="314" t="s">
        <v>120</v>
      </c>
      <c r="BE85" s="228"/>
      <c r="BF85" s="229"/>
      <c r="BG85" s="314"/>
      <c r="BH85" s="228"/>
      <c r="BI85" s="229"/>
      <c r="BJ85" s="314" t="s">
        <v>69</v>
      </c>
      <c r="BK85" s="228"/>
      <c r="BL85" s="229"/>
      <c r="BM85" s="314" t="s">
        <v>69</v>
      </c>
      <c r="BN85" s="228"/>
      <c r="BO85" s="229"/>
      <c r="BP85" s="314" t="s">
        <v>69</v>
      </c>
      <c r="BQ85" s="228"/>
      <c r="BR85" s="229"/>
      <c r="BS85" s="314" t="s">
        <v>69</v>
      </c>
      <c r="BT85" s="228"/>
      <c r="BU85" s="229"/>
      <c r="BV85" s="314" t="s">
        <v>69</v>
      </c>
      <c r="BW85" s="228"/>
      <c r="BX85" s="229"/>
      <c r="BY85" s="314" t="s">
        <v>69</v>
      </c>
      <c r="BZ85" s="228"/>
      <c r="CA85" s="229"/>
      <c r="CB85" s="314" t="s">
        <v>69</v>
      </c>
      <c r="CC85" s="228"/>
      <c r="CD85" s="229"/>
      <c r="CE85" s="314" t="s">
        <v>69</v>
      </c>
      <c r="CF85" s="228"/>
      <c r="CG85" s="229"/>
      <c r="CH85" s="314" t="s">
        <v>69</v>
      </c>
      <c r="CI85" s="228"/>
      <c r="CJ85" s="229"/>
      <c r="CK85" s="314" t="s">
        <v>69</v>
      </c>
      <c r="CL85" s="228"/>
      <c r="CM85" s="229"/>
      <c r="CN85" s="314" t="s">
        <v>69</v>
      </c>
      <c r="CO85" s="228"/>
      <c r="CP85" s="229"/>
      <c r="CQ85" s="220"/>
      <c r="CR85" s="249"/>
      <c r="CS85" s="12"/>
      <c r="CT85" s="13"/>
      <c r="CU85" s="298" t="s">
        <v>105</v>
      </c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23"/>
      <c r="DH85" s="299">
        <f>sum(DH82+DH84)</f>
        <v>50000</v>
      </c>
      <c r="DI85" s="24"/>
      <c r="DJ85" s="223"/>
      <c r="DK85" s="300">
        <v>0.0</v>
      </c>
      <c r="DL85" s="12"/>
      <c r="DM85" s="13"/>
      <c r="DN85" s="253" t="str">
        <f t="shared" si="26"/>
        <v>#DIV/0!</v>
      </c>
      <c r="DO85" s="12"/>
      <c r="DP85" s="13"/>
      <c r="DQ85" s="296">
        <f t="shared" si="30"/>
        <v>0</v>
      </c>
      <c r="DR85" s="12"/>
      <c r="DS85" s="13"/>
      <c r="DT85" s="301" t="str">
        <f t="shared" si="31"/>
        <v>#DIV/0!</v>
      </c>
      <c r="DU85" s="12"/>
      <c r="DV85" s="13"/>
      <c r="DW85" s="255" t="str">
        <f>(DK85-DH85)/'График'!AK48</f>
        <v>#DIV/0!</v>
      </c>
      <c r="DX85" s="12"/>
      <c r="DY85" s="13"/>
      <c r="DZ85" s="315"/>
      <c r="EA85" s="316"/>
      <c r="EB85" s="316"/>
      <c r="EC85" s="316"/>
      <c r="ED85" s="316"/>
      <c r="EE85" s="316"/>
      <c r="EF85" s="316"/>
      <c r="EG85" s="316"/>
      <c r="EH85" s="316"/>
      <c r="EI85" s="316"/>
      <c r="EJ85" s="316"/>
      <c r="EK85" s="316"/>
      <c r="EL85" s="316"/>
      <c r="EM85" s="316"/>
      <c r="EN85" s="316"/>
      <c r="EO85" s="316"/>
      <c r="EP85" s="316"/>
      <c r="EQ85" s="316"/>
      <c r="ER85" s="316"/>
      <c r="ES85" s="317"/>
      <c r="ET85" s="318"/>
      <c r="EU85" s="318"/>
      <c r="EV85" s="318"/>
      <c r="EW85" s="318"/>
      <c r="EX85" s="318"/>
      <c r="EY85" s="318"/>
      <c r="EZ85" s="318"/>
      <c r="FA85" s="318"/>
      <c r="FB85" s="318"/>
      <c r="FC85" s="318"/>
      <c r="FD85" s="318"/>
      <c r="FE85" s="318"/>
      <c r="FF85" s="318"/>
      <c r="FG85" s="318"/>
      <c r="FH85" s="319"/>
      <c r="FI85" s="320"/>
      <c r="FJ85" s="321"/>
      <c r="FK85" s="322"/>
      <c r="FL85" s="320"/>
      <c r="FM85" s="317"/>
      <c r="FN85" s="316"/>
      <c r="FO85" s="316"/>
      <c r="FP85" s="316"/>
      <c r="FQ85" s="316"/>
      <c r="FR85" s="316"/>
      <c r="FS85" s="316"/>
      <c r="FT85" s="316"/>
      <c r="FU85" s="316"/>
      <c r="FV85" s="316"/>
      <c r="FW85" s="316"/>
      <c r="FX85" s="316"/>
      <c r="FY85" s="316"/>
      <c r="FZ85" s="316"/>
      <c r="GA85" s="316"/>
      <c r="GB85" s="316"/>
      <c r="GC85" s="316"/>
      <c r="GD85" s="316"/>
      <c r="GE85" s="316"/>
      <c r="GF85" s="316"/>
      <c r="GG85" s="316"/>
      <c r="GH85" s="316"/>
      <c r="GI85" s="316"/>
      <c r="GJ85" s="316"/>
      <c r="GK85" s="316"/>
      <c r="GL85" s="316"/>
      <c r="GM85" s="316"/>
      <c r="GN85" s="316"/>
      <c r="GO85" s="316"/>
      <c r="GP85" s="316"/>
      <c r="GQ85" s="316"/>
      <c r="GR85" s="316"/>
      <c r="GS85" s="316"/>
      <c r="GT85" s="316"/>
      <c r="GU85" s="316"/>
      <c r="GV85" s="316"/>
      <c r="GW85" s="316"/>
      <c r="GX85" s="316"/>
      <c r="GY85" s="316"/>
      <c r="GZ85" s="316"/>
      <c r="HA85" s="316"/>
      <c r="HB85" s="316"/>
      <c r="HC85" s="316"/>
      <c r="HD85" s="323"/>
      <c r="HE85" s="324" t="s">
        <v>24</v>
      </c>
      <c r="HF85" s="22"/>
      <c r="HG85" s="325">
        <f>sum(HG79:HG84)</f>
        <v>0</v>
      </c>
      <c r="HH85" s="326"/>
      <c r="HI85" s="327"/>
      <c r="HJ85" s="60"/>
    </row>
    <row r="86" ht="15.0" customHeight="1">
      <c r="A86" s="54"/>
      <c r="B86" s="245"/>
      <c r="D86" s="55"/>
      <c r="M86" s="33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T86" s="246"/>
      <c r="AU86" s="247"/>
      <c r="AV86" s="247"/>
      <c r="AW86" s="248"/>
      <c r="AX86" s="246"/>
      <c r="AY86" s="247"/>
      <c r="AZ86" s="248"/>
      <c r="BA86" s="246"/>
      <c r="BB86" s="247"/>
      <c r="BC86" s="248"/>
      <c r="BD86" s="246"/>
      <c r="BE86" s="247"/>
      <c r="BF86" s="248"/>
      <c r="BG86" s="246"/>
      <c r="BH86" s="247"/>
      <c r="BI86" s="248"/>
      <c r="BJ86" s="246"/>
      <c r="BK86" s="247"/>
      <c r="BL86" s="248"/>
      <c r="BM86" s="246"/>
      <c r="BN86" s="247"/>
      <c r="BO86" s="248"/>
      <c r="BP86" s="246"/>
      <c r="BQ86" s="247"/>
      <c r="BR86" s="248"/>
      <c r="BS86" s="246"/>
      <c r="BT86" s="247"/>
      <c r="BU86" s="248"/>
      <c r="BV86" s="246"/>
      <c r="BW86" s="247"/>
      <c r="BX86" s="248"/>
      <c r="BY86" s="246"/>
      <c r="BZ86" s="247"/>
      <c r="CA86" s="248"/>
      <c r="CB86" s="246"/>
      <c r="CC86" s="247"/>
      <c r="CD86" s="248"/>
      <c r="CE86" s="246"/>
      <c r="CF86" s="247"/>
      <c r="CG86" s="248"/>
      <c r="CH86" s="246"/>
      <c r="CI86" s="247"/>
      <c r="CJ86" s="248"/>
      <c r="CK86" s="246"/>
      <c r="CL86" s="247"/>
      <c r="CM86" s="248"/>
      <c r="CN86" s="246"/>
      <c r="CO86" s="247"/>
      <c r="CP86" s="248"/>
      <c r="CQ86" s="220"/>
      <c r="CR86" s="249"/>
      <c r="CS86" s="12"/>
      <c r="CT86" s="13"/>
      <c r="CU86" s="328" t="s">
        <v>73</v>
      </c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23"/>
      <c r="DH86" s="299" t="str">
        <f>DH82/DH80</f>
        <v>#DIV/0!</v>
      </c>
      <c r="DI86" s="24"/>
      <c r="DJ86" s="223"/>
      <c r="DK86" s="300">
        <v>25000.0</v>
      </c>
      <c r="DL86" s="12"/>
      <c r="DM86" s="13"/>
      <c r="DN86" s="253" t="str">
        <f t="shared" si="26"/>
        <v>#DIV/0!</v>
      </c>
      <c r="DO86" s="12"/>
      <c r="DP86" s="13"/>
      <c r="DQ86" s="296" t="str">
        <f t="shared" si="30"/>
        <v>#DIV/0!</v>
      </c>
      <c r="DR86" s="12"/>
      <c r="DS86" s="13"/>
      <c r="DT86" s="301" t="str">
        <f t="shared" si="31"/>
        <v>#DIV/0!</v>
      </c>
      <c r="DU86" s="12"/>
      <c r="DV86" s="13"/>
      <c r="DW86" s="255" t="str">
        <f>(DK86-DH86)/'График'!AK48</f>
        <v>#DIV/0!</v>
      </c>
      <c r="DX86" s="12"/>
      <c r="DY86" s="13"/>
      <c r="DZ86" s="315"/>
      <c r="EA86" s="317"/>
      <c r="EB86" s="317"/>
      <c r="EC86" s="317"/>
      <c r="ED86" s="317"/>
      <c r="EE86" s="317"/>
      <c r="EF86" s="317"/>
      <c r="EG86" s="317"/>
      <c r="EH86" s="317"/>
      <c r="EI86" s="317"/>
      <c r="EJ86" s="317"/>
      <c r="EK86" s="317"/>
      <c r="EL86" s="317"/>
      <c r="EM86" s="317"/>
      <c r="EN86" s="317"/>
      <c r="EO86" s="317"/>
      <c r="EP86" s="317"/>
      <c r="EQ86" s="317"/>
      <c r="ER86" s="317"/>
      <c r="ES86" s="317"/>
      <c r="ET86" s="317"/>
      <c r="EU86" s="317"/>
      <c r="EV86" s="317"/>
      <c r="EW86" s="317"/>
      <c r="EX86" s="317"/>
      <c r="EY86" s="317"/>
      <c r="EZ86" s="317"/>
      <c r="FA86" s="317"/>
      <c r="FB86" s="317"/>
      <c r="FC86" s="317"/>
      <c r="FD86" s="317"/>
      <c r="FE86" s="317"/>
      <c r="FF86" s="317"/>
      <c r="FG86" s="317"/>
      <c r="FH86" s="317"/>
      <c r="FI86" s="317"/>
      <c r="FJ86" s="317"/>
      <c r="FK86" s="317"/>
      <c r="FL86" s="317"/>
      <c r="FM86" s="317"/>
      <c r="FN86" s="317"/>
      <c r="FO86" s="317"/>
      <c r="FP86" s="317"/>
      <c r="FQ86" s="317"/>
      <c r="FR86" s="317"/>
      <c r="FS86" s="317"/>
      <c r="FT86" s="317"/>
      <c r="FU86" s="317"/>
      <c r="FV86" s="317"/>
      <c r="FW86" s="317"/>
      <c r="FX86" s="317"/>
      <c r="FY86" s="317"/>
      <c r="FZ86" s="317"/>
      <c r="GA86" s="317"/>
      <c r="GB86" s="317"/>
      <c r="GC86" s="317"/>
      <c r="GD86" s="317"/>
      <c r="GE86" s="317"/>
      <c r="GF86" s="317"/>
      <c r="GG86" s="317"/>
      <c r="GH86" s="317"/>
      <c r="GI86" s="317"/>
      <c r="GJ86" s="317"/>
      <c r="GK86" s="317"/>
      <c r="GL86" s="317"/>
      <c r="GM86" s="317"/>
      <c r="GN86" s="317"/>
      <c r="GO86" s="317"/>
      <c r="GP86" s="317"/>
      <c r="GQ86" s="317"/>
      <c r="GR86" s="317"/>
      <c r="GS86" s="317"/>
      <c r="GT86" s="317"/>
      <c r="GU86" s="317"/>
      <c r="GV86" s="317"/>
      <c r="GW86" s="317"/>
      <c r="GX86" s="317"/>
      <c r="GY86" s="317"/>
      <c r="GZ86" s="317"/>
      <c r="HA86" s="317"/>
      <c r="HB86" s="317"/>
      <c r="HC86" s="317"/>
      <c r="HD86" s="317"/>
      <c r="HE86" s="316"/>
      <c r="HF86" s="316"/>
      <c r="HG86" s="316"/>
      <c r="HH86" s="316"/>
      <c r="HI86" s="316"/>
      <c r="HJ86" s="317"/>
    </row>
    <row r="87" ht="15.0" customHeight="1">
      <c r="A87" s="54"/>
      <c r="B87" s="245"/>
      <c r="D87" s="55"/>
      <c r="M87" s="33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T87" s="263" t="s">
        <v>21</v>
      </c>
      <c r="AU87" s="9"/>
      <c r="AV87" s="9"/>
      <c r="AW87" s="10"/>
      <c r="AX87" s="329">
        <v>25000.0</v>
      </c>
      <c r="AY87" s="9"/>
      <c r="AZ87" s="10"/>
      <c r="BA87" s="329">
        <v>10000.0</v>
      </c>
      <c r="BB87" s="9"/>
      <c r="BC87" s="10"/>
      <c r="BD87" s="329">
        <v>15000.0</v>
      </c>
      <c r="BE87" s="9"/>
      <c r="BF87" s="10"/>
      <c r="BG87" s="329"/>
      <c r="BH87" s="9"/>
      <c r="BI87" s="10"/>
      <c r="BJ87" s="329"/>
      <c r="BK87" s="9"/>
      <c r="BL87" s="10"/>
      <c r="BM87" s="329"/>
      <c r="BN87" s="9"/>
      <c r="BO87" s="10"/>
      <c r="BP87" s="329"/>
      <c r="BQ87" s="9"/>
      <c r="BR87" s="10"/>
      <c r="BS87" s="329"/>
      <c r="BT87" s="9"/>
      <c r="BU87" s="10"/>
      <c r="BV87" s="329"/>
      <c r="BW87" s="9"/>
      <c r="BX87" s="10"/>
      <c r="BY87" s="329"/>
      <c r="BZ87" s="9"/>
      <c r="CA87" s="10"/>
      <c r="CB87" s="329"/>
      <c r="CC87" s="9"/>
      <c r="CD87" s="10"/>
      <c r="CE87" s="329"/>
      <c r="CF87" s="9"/>
      <c r="CG87" s="10"/>
      <c r="CH87" s="329"/>
      <c r="CI87" s="9"/>
      <c r="CJ87" s="10"/>
      <c r="CK87" s="329"/>
      <c r="CL87" s="9"/>
      <c r="CM87" s="10"/>
      <c r="CN87" s="329"/>
      <c r="CO87" s="9"/>
      <c r="CP87" s="10"/>
      <c r="CQ87" s="220"/>
      <c r="CR87" s="249"/>
      <c r="CS87" s="12"/>
      <c r="CT87" s="13"/>
      <c r="CU87" s="268" t="s">
        <v>84</v>
      </c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3"/>
      <c r="DH87" s="255" t="str">
        <f>(DH80/DH81)</f>
        <v>#DIV/0!</v>
      </c>
      <c r="DI87" s="12"/>
      <c r="DJ87" s="13"/>
      <c r="DK87" s="330">
        <v>0.0</v>
      </c>
      <c r="DL87" s="12"/>
      <c r="DM87" s="13"/>
      <c r="DN87" s="253" t="str">
        <f t="shared" si="26"/>
        <v>#DIV/0!</v>
      </c>
      <c r="DO87" s="12"/>
      <c r="DP87" s="13"/>
      <c r="DQ87" s="296" t="str">
        <f t="shared" si="30"/>
        <v>#DIV/0!</v>
      </c>
      <c r="DR87" s="12"/>
      <c r="DS87" s="13"/>
      <c r="DT87" s="301" t="str">
        <f t="shared" si="31"/>
        <v>#DIV/0!</v>
      </c>
      <c r="DU87" s="12"/>
      <c r="DV87" s="13"/>
      <c r="DW87" s="255" t="str">
        <f>(DK87-DH87)/'График'!AK48</f>
        <v>#DIV/0!</v>
      </c>
      <c r="DX87" s="12"/>
      <c r="DY87" s="13"/>
      <c r="DZ87" s="315"/>
      <c r="EA87" s="317"/>
      <c r="EB87" s="317"/>
      <c r="EC87" s="317"/>
      <c r="ED87" s="317"/>
      <c r="EE87" s="317"/>
      <c r="EF87" s="317"/>
      <c r="EG87" s="317"/>
      <c r="EH87" s="317"/>
      <c r="EI87" s="317"/>
      <c r="EJ87" s="317"/>
      <c r="EK87" s="317"/>
      <c r="EL87" s="317"/>
      <c r="EM87" s="317"/>
      <c r="EN87" s="317"/>
      <c r="EO87" s="317"/>
      <c r="EP87" s="317"/>
      <c r="EQ87" s="317"/>
      <c r="ER87" s="317"/>
      <c r="ES87" s="317"/>
      <c r="ET87" s="317"/>
      <c r="EU87" s="317"/>
      <c r="EV87" s="317"/>
      <c r="EW87" s="317"/>
      <c r="EX87" s="317"/>
      <c r="EY87" s="317"/>
      <c r="EZ87" s="317"/>
      <c r="FA87" s="317"/>
      <c r="FB87" s="317"/>
      <c r="FC87" s="317"/>
      <c r="FD87" s="317"/>
      <c r="FE87" s="317"/>
      <c r="FF87" s="317"/>
      <c r="FG87" s="317"/>
      <c r="FH87" s="317"/>
      <c r="FI87" s="317"/>
      <c r="FJ87" s="317"/>
      <c r="FK87" s="317"/>
      <c r="FL87" s="317"/>
      <c r="FM87" s="317"/>
      <c r="FN87" s="317"/>
      <c r="FO87" s="317"/>
      <c r="FP87" s="317"/>
      <c r="FQ87" s="317"/>
      <c r="FR87" s="317"/>
      <c r="FS87" s="317"/>
      <c r="FT87" s="317"/>
      <c r="FU87" s="317"/>
      <c r="FV87" s="317"/>
      <c r="FW87" s="317"/>
      <c r="FX87" s="317"/>
      <c r="FY87" s="317"/>
      <c r="FZ87" s="317"/>
      <c r="GA87" s="317"/>
      <c r="GB87" s="317"/>
      <c r="GC87" s="317"/>
      <c r="GD87" s="317"/>
      <c r="GE87" s="317"/>
      <c r="GF87" s="317"/>
      <c r="GG87" s="317"/>
      <c r="GH87" s="317"/>
      <c r="GI87" s="317"/>
      <c r="GJ87" s="317"/>
      <c r="GK87" s="317"/>
      <c r="GL87" s="317"/>
      <c r="GM87" s="317"/>
      <c r="GN87" s="317"/>
      <c r="GO87" s="317"/>
      <c r="GP87" s="317"/>
      <c r="GQ87" s="317"/>
      <c r="GR87" s="317"/>
      <c r="GS87" s="317"/>
      <c r="GT87" s="317"/>
      <c r="GU87" s="317"/>
      <c r="GV87" s="317"/>
      <c r="GW87" s="317"/>
      <c r="GX87" s="317"/>
      <c r="GY87" s="317"/>
      <c r="GZ87" s="317"/>
      <c r="HA87" s="317"/>
      <c r="HB87" s="317"/>
      <c r="HC87" s="317"/>
      <c r="HD87" s="317"/>
      <c r="HE87" s="317"/>
      <c r="HF87" s="317"/>
      <c r="HG87" s="317"/>
      <c r="HH87" s="317"/>
      <c r="HI87" s="317"/>
      <c r="HJ87" s="317"/>
    </row>
    <row r="88" ht="15.0" customHeight="1">
      <c r="A88" s="162"/>
      <c r="B88" s="331"/>
      <c r="C88" s="59"/>
      <c r="D88" s="57"/>
      <c r="E88" s="39"/>
      <c r="F88" s="39"/>
      <c r="G88" s="39"/>
      <c r="H88" s="39"/>
      <c r="I88" s="39"/>
      <c r="J88" s="39"/>
      <c r="K88" s="39"/>
      <c r="L88" s="39"/>
      <c r="M88" s="40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59"/>
      <c r="AT88" s="332">
        <v>20.0</v>
      </c>
      <c r="AU88" s="9"/>
      <c r="AV88" s="10"/>
      <c r="AW88" s="333" t="s">
        <v>37</v>
      </c>
      <c r="AX88" s="334">
        <f>AX87*AT88/100</f>
        <v>5000</v>
      </c>
      <c r="AY88" s="9"/>
      <c r="AZ88" s="10"/>
      <c r="BA88" s="334">
        <f>BA87*AT88/100</f>
        <v>2000</v>
      </c>
      <c r="BB88" s="9"/>
      <c r="BC88" s="10"/>
      <c r="BD88" s="334">
        <f>BD87*AT88/100</f>
        <v>3000</v>
      </c>
      <c r="BE88" s="9"/>
      <c r="BF88" s="10"/>
      <c r="BG88" s="334">
        <f>BG87*AT88/100</f>
        <v>0</v>
      </c>
      <c r="BH88" s="9"/>
      <c r="BI88" s="10"/>
      <c r="BJ88" s="334">
        <f>BJ87*AT88/100</f>
        <v>0</v>
      </c>
      <c r="BK88" s="9"/>
      <c r="BL88" s="10"/>
      <c r="BM88" s="334">
        <f>BM87*AT88/100</f>
        <v>0</v>
      </c>
      <c r="BN88" s="9"/>
      <c r="BO88" s="10"/>
      <c r="BP88" s="334">
        <f>BP87*AT88/100</f>
        <v>0</v>
      </c>
      <c r="BQ88" s="9"/>
      <c r="BR88" s="10"/>
      <c r="BS88" s="334">
        <f>BS87*AT88/100</f>
        <v>0</v>
      </c>
      <c r="BT88" s="9"/>
      <c r="BU88" s="10"/>
      <c r="BV88" s="334">
        <f>BV87*AT88/100</f>
        <v>0</v>
      </c>
      <c r="BW88" s="9"/>
      <c r="BX88" s="10"/>
      <c r="BY88" s="334">
        <f>BY87*HH87/100</f>
        <v>0</v>
      </c>
      <c r="BZ88" s="9"/>
      <c r="CA88" s="10"/>
      <c r="CB88" s="334">
        <f>CB87*AT88/100</f>
        <v>0</v>
      </c>
      <c r="CC88" s="9"/>
      <c r="CD88" s="10"/>
      <c r="CE88" s="334">
        <f>CE87*AT88/100</f>
        <v>0</v>
      </c>
      <c r="CF88" s="9"/>
      <c r="CG88" s="10"/>
      <c r="CH88" s="334">
        <f>CH87*AT88/100</f>
        <v>0</v>
      </c>
      <c r="CI88" s="9"/>
      <c r="CJ88" s="10"/>
      <c r="CK88" s="334">
        <f>CK87*AT88/100</f>
        <v>0</v>
      </c>
      <c r="CL88" s="9"/>
      <c r="CM88" s="10"/>
      <c r="CN88" s="334">
        <f>CN87*AT88/100</f>
        <v>0</v>
      </c>
      <c r="CO88" s="9"/>
      <c r="CP88" s="10"/>
      <c r="CQ88" s="335"/>
      <c r="CR88" s="249">
        <f>sum(CR76:CT82,CR84,CR85,CR86,CR87)</f>
        <v>15000</v>
      </c>
      <c r="CS88" s="12"/>
      <c r="CT88" s="13"/>
      <c r="CU88" s="268" t="s">
        <v>34</v>
      </c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3"/>
      <c r="DH88" s="336">
        <f>sum(DT79,DT80,DT82)/3</f>
        <v>20</v>
      </c>
      <c r="DI88" s="12"/>
      <c r="DJ88" s="13"/>
      <c r="DK88" s="330">
        <v>100.0</v>
      </c>
      <c r="DL88" s="12"/>
      <c r="DM88" s="13"/>
      <c r="DN88" s="253">
        <f>sum(DN79,DN80,DN82)</f>
        <v>6000</v>
      </c>
      <c r="DO88" s="12"/>
      <c r="DP88" s="13"/>
      <c r="DQ88" s="296">
        <f t="shared" si="30"/>
        <v>20</v>
      </c>
      <c r="DR88" s="12"/>
      <c r="DS88" s="13"/>
      <c r="DT88" s="301">
        <f t="shared" si="31"/>
        <v>20</v>
      </c>
      <c r="DU88" s="12"/>
      <c r="DV88" s="13"/>
      <c r="DW88" s="254" t="str">
        <f>(DK88-DH88)/'График'!AK48</f>
        <v>#DIV/0!</v>
      </c>
      <c r="DX88" s="12"/>
      <c r="DY88" s="13"/>
      <c r="DZ88" s="315"/>
      <c r="EA88" s="317"/>
      <c r="EB88" s="317"/>
      <c r="EC88" s="317"/>
      <c r="ED88" s="317"/>
      <c r="EE88" s="317"/>
      <c r="EF88" s="317"/>
      <c r="EG88" s="317"/>
      <c r="EH88" s="317"/>
      <c r="EI88" s="317"/>
      <c r="EJ88" s="317"/>
      <c r="EK88" s="317"/>
      <c r="EL88" s="317"/>
      <c r="EM88" s="317"/>
      <c r="EN88" s="317"/>
      <c r="EO88" s="317"/>
      <c r="EP88" s="317"/>
      <c r="EQ88" s="317"/>
      <c r="ER88" s="317"/>
      <c r="ES88" s="317"/>
      <c r="ET88" s="317"/>
      <c r="EU88" s="317"/>
      <c r="EV88" s="317"/>
      <c r="EW88" s="317"/>
      <c r="EX88" s="317"/>
      <c r="EY88" s="317"/>
      <c r="EZ88" s="317"/>
      <c r="FA88" s="317"/>
      <c r="FB88" s="317"/>
      <c r="FC88" s="317"/>
      <c r="FD88" s="317"/>
      <c r="FE88" s="317"/>
      <c r="FF88" s="317"/>
      <c r="FG88" s="317"/>
      <c r="FH88" s="317"/>
      <c r="FI88" s="317"/>
      <c r="FJ88" s="317"/>
      <c r="FK88" s="317"/>
      <c r="FL88" s="317"/>
      <c r="FM88" s="317"/>
      <c r="FN88" s="317"/>
      <c r="FO88" s="317"/>
      <c r="FP88" s="317"/>
      <c r="FQ88" s="317"/>
      <c r="FR88" s="317"/>
      <c r="FS88" s="317"/>
      <c r="FT88" s="317"/>
      <c r="FU88" s="317"/>
      <c r="FV88" s="317"/>
      <c r="FW88" s="317"/>
      <c r="FX88" s="317"/>
      <c r="FY88" s="317"/>
      <c r="FZ88" s="317"/>
      <c r="GA88" s="317"/>
      <c r="GB88" s="317"/>
      <c r="GC88" s="317"/>
      <c r="GD88" s="317"/>
      <c r="GE88" s="317"/>
      <c r="GF88" s="317"/>
      <c r="GG88" s="317"/>
      <c r="GH88" s="317"/>
      <c r="GI88" s="317"/>
      <c r="GJ88" s="317"/>
      <c r="GK88" s="317"/>
      <c r="GL88" s="317"/>
      <c r="GM88" s="317"/>
      <c r="GN88" s="317"/>
      <c r="GO88" s="317"/>
      <c r="GP88" s="317"/>
      <c r="GQ88" s="317"/>
      <c r="GR88" s="317"/>
      <c r="GS88" s="317"/>
      <c r="GT88" s="317"/>
      <c r="GU88" s="317"/>
      <c r="GV88" s="317"/>
      <c r="GW88" s="317"/>
      <c r="GX88" s="317"/>
      <c r="GY88" s="317"/>
      <c r="GZ88" s="317"/>
      <c r="HA88" s="317"/>
      <c r="HB88" s="317"/>
      <c r="HC88" s="317"/>
      <c r="HD88" s="317"/>
      <c r="HE88" s="317"/>
      <c r="HF88" s="317"/>
      <c r="HG88" s="317"/>
      <c r="HH88" s="317"/>
      <c r="HI88" s="317"/>
      <c r="HJ88" s="317"/>
    </row>
    <row r="89" ht="15.0" customHeight="1">
      <c r="A89" s="166"/>
      <c r="B89" s="13"/>
      <c r="C89" s="213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337"/>
      <c r="AJ89" s="337"/>
      <c r="AK89" s="337"/>
      <c r="AL89" s="337"/>
      <c r="AM89" s="337"/>
      <c r="AN89" s="337"/>
      <c r="AO89" s="337"/>
      <c r="AP89" s="337"/>
      <c r="AQ89" s="337"/>
      <c r="AR89" s="337"/>
      <c r="AS89" s="338"/>
      <c r="AT89" s="338"/>
      <c r="AU89" s="338"/>
      <c r="AV89" s="338"/>
      <c r="AW89" s="338"/>
      <c r="AX89" s="338"/>
      <c r="AY89" s="338"/>
      <c r="AZ89" s="338"/>
      <c r="BA89" s="338"/>
      <c r="BB89" s="338"/>
      <c r="BC89" s="338"/>
      <c r="BD89" s="338"/>
      <c r="BE89" s="338"/>
      <c r="BF89" s="338"/>
      <c r="BG89" s="338"/>
      <c r="BH89" s="338"/>
      <c r="BI89" s="338"/>
      <c r="BJ89" s="338"/>
      <c r="BK89" s="338"/>
      <c r="BL89" s="338"/>
      <c r="BM89" s="338"/>
      <c r="BN89" s="338"/>
      <c r="BO89" s="338"/>
      <c r="BP89" s="338"/>
      <c r="BQ89" s="338"/>
      <c r="BR89" s="338"/>
      <c r="BS89" s="338"/>
      <c r="BT89" s="338"/>
      <c r="BU89" s="338"/>
      <c r="BV89" s="338"/>
      <c r="BW89" s="338"/>
      <c r="BX89" s="338"/>
      <c r="BY89" s="338"/>
      <c r="BZ89" s="338"/>
      <c r="CA89" s="338"/>
      <c r="CB89" s="338"/>
      <c r="CC89" s="338"/>
      <c r="CD89" s="338"/>
      <c r="CE89" s="338"/>
      <c r="CF89" s="338"/>
      <c r="CG89" s="338"/>
      <c r="CH89" s="338"/>
      <c r="CI89" s="338"/>
      <c r="CJ89" s="338"/>
      <c r="CK89" s="338"/>
      <c r="CL89" s="338"/>
      <c r="CM89" s="338"/>
      <c r="CN89" s="338"/>
      <c r="CO89" s="338"/>
      <c r="CP89" s="338"/>
      <c r="CQ89" s="338"/>
      <c r="CR89" s="337"/>
      <c r="CS89" s="337"/>
      <c r="CT89" s="337"/>
      <c r="CU89" s="337"/>
      <c r="CV89" s="337"/>
      <c r="CW89" s="337"/>
      <c r="CX89" s="337"/>
      <c r="CY89" s="337"/>
      <c r="CZ89" s="337"/>
      <c r="DA89" s="337"/>
      <c r="DB89" s="337"/>
      <c r="DC89" s="337"/>
      <c r="DD89" s="337"/>
      <c r="DE89" s="337"/>
      <c r="DF89" s="337"/>
      <c r="DG89" s="337"/>
      <c r="DH89" s="337"/>
      <c r="DI89" s="337"/>
      <c r="DJ89" s="337"/>
      <c r="DK89" s="338"/>
      <c r="DL89" s="338"/>
      <c r="DM89" s="338"/>
      <c r="DN89" s="337"/>
      <c r="DO89" s="337"/>
      <c r="DP89" s="337"/>
      <c r="DQ89" s="337"/>
      <c r="DR89" s="337"/>
      <c r="DS89" s="337"/>
      <c r="DT89" s="337"/>
      <c r="DU89" s="337"/>
      <c r="DV89" s="337"/>
      <c r="DW89" s="337"/>
      <c r="DX89" s="337"/>
      <c r="DY89" s="337"/>
      <c r="DZ89" s="338"/>
      <c r="EA89" s="338"/>
      <c r="EB89" s="338"/>
      <c r="EC89" s="338"/>
      <c r="ED89" s="338"/>
      <c r="EE89" s="338"/>
      <c r="EF89" s="338"/>
      <c r="EG89" s="338"/>
      <c r="EH89" s="338"/>
      <c r="EI89" s="338"/>
      <c r="EJ89" s="338"/>
      <c r="EK89" s="338"/>
      <c r="EL89" s="338"/>
      <c r="EM89" s="338"/>
      <c r="EN89" s="338"/>
      <c r="EO89" s="338"/>
      <c r="EP89" s="338"/>
      <c r="EQ89" s="338"/>
      <c r="ER89" s="338"/>
      <c r="ES89" s="338"/>
      <c r="ET89" s="338"/>
      <c r="EU89" s="338"/>
      <c r="EV89" s="338"/>
      <c r="EW89" s="338"/>
      <c r="EX89" s="338"/>
      <c r="EY89" s="338"/>
      <c r="EZ89" s="338"/>
      <c r="FA89" s="338"/>
      <c r="FB89" s="338"/>
      <c r="FC89" s="338"/>
      <c r="FD89" s="338"/>
      <c r="FE89" s="338"/>
      <c r="FF89" s="338"/>
      <c r="FG89" s="338"/>
      <c r="FH89" s="338"/>
      <c r="FI89" s="338"/>
      <c r="FJ89" s="338"/>
      <c r="FK89" s="338"/>
      <c r="FL89" s="338"/>
      <c r="FM89" s="338"/>
      <c r="FN89" s="338"/>
      <c r="FO89" s="338"/>
      <c r="FP89" s="338"/>
      <c r="FQ89" s="338"/>
      <c r="FR89" s="338"/>
      <c r="FS89" s="338"/>
      <c r="FT89" s="338"/>
      <c r="FU89" s="338"/>
      <c r="FV89" s="338"/>
      <c r="FW89" s="338"/>
      <c r="FX89" s="338"/>
      <c r="FY89" s="338"/>
      <c r="FZ89" s="338"/>
      <c r="GA89" s="338"/>
      <c r="GB89" s="338"/>
      <c r="GC89" s="338"/>
      <c r="GD89" s="338"/>
      <c r="GE89" s="338"/>
      <c r="GF89" s="338"/>
      <c r="GG89" s="338"/>
      <c r="GH89" s="338"/>
      <c r="GI89" s="338"/>
      <c r="GJ89" s="338"/>
      <c r="GK89" s="338"/>
      <c r="GL89" s="338"/>
      <c r="GM89" s="338"/>
      <c r="GN89" s="338"/>
      <c r="GO89" s="338"/>
      <c r="GP89" s="338"/>
      <c r="GQ89" s="338"/>
      <c r="GR89" s="338"/>
      <c r="GS89" s="338"/>
      <c r="GT89" s="338"/>
      <c r="GU89" s="338"/>
      <c r="GV89" s="338"/>
      <c r="GW89" s="338"/>
      <c r="GX89" s="338"/>
      <c r="GY89" s="338"/>
      <c r="GZ89" s="338"/>
      <c r="HA89" s="338"/>
      <c r="HB89" s="338"/>
      <c r="HC89" s="338"/>
      <c r="HD89" s="338"/>
      <c r="HE89" s="338"/>
      <c r="HF89" s="338"/>
      <c r="HG89" s="338"/>
      <c r="HH89" s="338"/>
      <c r="HI89" s="338"/>
      <c r="HJ89" s="338"/>
    </row>
    <row r="90" ht="15.0" customHeight="1">
      <c r="A90" s="181"/>
      <c r="B90" s="181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  <c r="CO90" s="214"/>
      <c r="CP90" s="214"/>
      <c r="CQ90" s="214"/>
      <c r="CR90" s="214"/>
      <c r="CS90" s="214"/>
      <c r="CT90" s="214"/>
      <c r="CU90" s="214"/>
      <c r="CV90" s="214"/>
      <c r="CW90" s="214"/>
      <c r="CX90" s="214"/>
      <c r="CY90" s="214"/>
      <c r="CZ90" s="214"/>
      <c r="DA90" s="214"/>
      <c r="DB90" s="214"/>
      <c r="DC90" s="214"/>
      <c r="DD90" s="214"/>
      <c r="DE90" s="214"/>
      <c r="DF90" s="214"/>
      <c r="DG90" s="214"/>
      <c r="DH90" s="214"/>
      <c r="DI90" s="214"/>
      <c r="DJ90" s="214"/>
      <c r="DK90" s="214"/>
      <c r="DL90" s="214"/>
      <c r="DM90" s="214"/>
      <c r="DN90" s="214"/>
      <c r="DO90" s="214"/>
      <c r="DP90" s="214"/>
      <c r="DQ90" s="214"/>
      <c r="DR90" s="214"/>
      <c r="DS90" s="214"/>
      <c r="DT90" s="214"/>
      <c r="DU90" s="214"/>
      <c r="DV90" s="214"/>
      <c r="DW90" s="214"/>
      <c r="DX90" s="214"/>
      <c r="DY90" s="214"/>
      <c r="DZ90" s="214"/>
      <c r="EA90" s="214"/>
      <c r="EB90" s="214"/>
      <c r="EC90" s="214"/>
      <c r="ED90" s="214"/>
      <c r="EE90" s="214"/>
      <c r="EF90" s="214"/>
      <c r="EG90" s="214"/>
      <c r="EH90" s="214"/>
      <c r="EI90" s="214"/>
      <c r="EJ90" s="214"/>
      <c r="EK90" s="214"/>
      <c r="EL90" s="214"/>
      <c r="EM90" s="214"/>
      <c r="EN90" s="214"/>
      <c r="EO90" s="214"/>
      <c r="EP90" s="214"/>
      <c r="EQ90" s="214"/>
      <c r="ER90" s="214"/>
      <c r="ES90" s="214"/>
      <c r="ET90" s="214"/>
      <c r="EU90" s="214"/>
      <c r="EV90" s="214"/>
      <c r="EW90" s="214"/>
      <c r="EX90" s="214"/>
      <c r="EY90" s="214"/>
      <c r="EZ90" s="214"/>
      <c r="FA90" s="214"/>
      <c r="FB90" s="214"/>
      <c r="FC90" s="214"/>
      <c r="FD90" s="214"/>
      <c r="FE90" s="214"/>
      <c r="FF90" s="214"/>
      <c r="FG90" s="214"/>
      <c r="FH90" s="214"/>
      <c r="FI90" s="214"/>
      <c r="FJ90" s="214"/>
      <c r="FK90" s="214"/>
      <c r="FL90" s="214"/>
      <c r="FM90" s="214"/>
      <c r="FN90" s="214"/>
      <c r="FO90" s="214"/>
      <c r="FP90" s="214"/>
      <c r="FQ90" s="214"/>
      <c r="FR90" s="214"/>
      <c r="FS90" s="214"/>
      <c r="FT90" s="214"/>
      <c r="FU90" s="214"/>
      <c r="FV90" s="214"/>
      <c r="FW90" s="214"/>
      <c r="FX90" s="214"/>
      <c r="FY90" s="214"/>
      <c r="FZ90" s="214"/>
      <c r="GA90" s="214"/>
      <c r="GB90" s="214"/>
      <c r="GC90" s="214"/>
      <c r="GD90" s="214"/>
      <c r="GE90" s="214"/>
      <c r="GF90" s="214"/>
      <c r="GG90" s="214"/>
      <c r="GH90" s="214"/>
      <c r="GI90" s="214"/>
      <c r="GJ90" s="214"/>
      <c r="GK90" s="214"/>
      <c r="GL90" s="214"/>
      <c r="GM90" s="214"/>
      <c r="GN90" s="214"/>
      <c r="GO90" s="214"/>
      <c r="GP90" s="214"/>
      <c r="GQ90" s="214"/>
      <c r="GR90" s="214"/>
      <c r="GS90" s="214"/>
      <c r="GT90" s="214"/>
      <c r="GU90" s="214"/>
      <c r="GV90" s="214"/>
      <c r="GW90" s="214"/>
      <c r="GX90" s="214"/>
      <c r="GY90" s="214"/>
      <c r="GZ90" s="214"/>
      <c r="HA90" s="214"/>
      <c r="HB90" s="214"/>
      <c r="HC90" s="214"/>
      <c r="HD90" s="214"/>
      <c r="HE90" s="214"/>
      <c r="HF90" s="214"/>
      <c r="HG90" s="214"/>
      <c r="HH90" s="214"/>
      <c r="HI90" s="214"/>
      <c r="HJ90" s="214"/>
    </row>
    <row r="91" ht="15.0" customHeight="1">
      <c r="A91" s="180"/>
      <c r="B91" s="13"/>
      <c r="C91" s="215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217"/>
      <c r="AT91" s="216"/>
      <c r="AU91" s="216"/>
      <c r="AV91" s="216"/>
      <c r="AW91" s="216"/>
      <c r="AX91" s="216"/>
      <c r="AY91" s="216"/>
      <c r="AZ91" s="216"/>
      <c r="BA91" s="216"/>
      <c r="BB91" s="216"/>
      <c r="BC91" s="216"/>
      <c r="BD91" s="216"/>
      <c r="BE91" s="216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6"/>
      <c r="BS91" s="216"/>
      <c r="BT91" s="216"/>
      <c r="BU91" s="216"/>
      <c r="BV91" s="216"/>
      <c r="BW91" s="216"/>
      <c r="BX91" s="216"/>
      <c r="BY91" s="216"/>
      <c r="BZ91" s="216"/>
      <c r="CA91" s="216"/>
      <c r="CB91" s="216"/>
      <c r="CC91" s="216"/>
      <c r="CD91" s="216"/>
      <c r="CE91" s="216"/>
      <c r="CF91" s="216"/>
      <c r="CG91" s="216"/>
      <c r="CH91" s="216"/>
      <c r="CI91" s="216"/>
      <c r="CJ91" s="216"/>
      <c r="CK91" s="216"/>
      <c r="CL91" s="216"/>
      <c r="CM91" s="216"/>
      <c r="CN91" s="216"/>
      <c r="CO91" s="216"/>
      <c r="CP91" s="216"/>
      <c r="CQ91" s="217"/>
      <c r="CR91" s="216"/>
      <c r="CS91" s="216"/>
      <c r="CT91" s="216"/>
      <c r="CU91" s="216"/>
      <c r="CV91" s="216"/>
      <c r="CW91" s="216"/>
      <c r="CX91" s="216"/>
      <c r="CY91" s="216"/>
      <c r="CZ91" s="216"/>
      <c r="DA91" s="216"/>
      <c r="DB91" s="216"/>
      <c r="DC91" s="216"/>
      <c r="DD91" s="216"/>
      <c r="DE91" s="216"/>
      <c r="DF91" s="216"/>
      <c r="DG91" s="216"/>
      <c r="DH91" s="216"/>
      <c r="DI91" s="216"/>
      <c r="DJ91" s="216"/>
      <c r="DK91" s="216"/>
      <c r="DL91" s="216"/>
      <c r="DM91" s="216"/>
      <c r="DN91" s="216"/>
      <c r="DO91" s="216"/>
      <c r="DP91" s="216"/>
      <c r="DQ91" s="216"/>
      <c r="DR91" s="216"/>
      <c r="DS91" s="216"/>
      <c r="DT91" s="216"/>
      <c r="DU91" s="216"/>
      <c r="DV91" s="216"/>
      <c r="DW91" s="216"/>
      <c r="DX91" s="216"/>
      <c r="DY91" s="216"/>
      <c r="DZ91" s="217"/>
      <c r="EA91" s="216"/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216"/>
      <c r="EO91" s="216"/>
      <c r="EP91" s="216"/>
      <c r="EQ91" s="216"/>
      <c r="ER91" s="216"/>
      <c r="ES91" s="217"/>
      <c r="ET91" s="216"/>
      <c r="EU91" s="216"/>
      <c r="EV91" s="216"/>
      <c r="EW91" s="216"/>
      <c r="EX91" s="216"/>
      <c r="EY91" s="216"/>
      <c r="EZ91" s="216"/>
      <c r="FA91" s="216"/>
      <c r="FB91" s="216"/>
      <c r="FC91" s="216"/>
      <c r="FD91" s="216"/>
      <c r="FE91" s="216"/>
      <c r="FF91" s="216"/>
      <c r="FG91" s="216"/>
      <c r="FH91" s="216"/>
      <c r="FI91" s="216"/>
      <c r="FJ91" s="216"/>
      <c r="FK91" s="216"/>
      <c r="FL91" s="216"/>
      <c r="FM91" s="217"/>
      <c r="FN91" s="216"/>
      <c r="FO91" s="216"/>
      <c r="FP91" s="216"/>
      <c r="FQ91" s="216"/>
      <c r="FR91" s="216"/>
      <c r="FS91" s="216"/>
      <c r="FT91" s="216"/>
      <c r="FU91" s="216"/>
      <c r="FV91" s="216"/>
      <c r="FW91" s="216"/>
      <c r="FX91" s="216"/>
      <c r="FY91" s="216"/>
      <c r="FZ91" s="216"/>
      <c r="GA91" s="216"/>
      <c r="GB91" s="216"/>
      <c r="GC91" s="216"/>
      <c r="GD91" s="216"/>
      <c r="GE91" s="216"/>
      <c r="GF91" s="216"/>
      <c r="GG91" s="216"/>
      <c r="GH91" s="216"/>
      <c r="GI91" s="216"/>
      <c r="GJ91" s="216"/>
      <c r="GK91" s="216"/>
      <c r="GL91" s="216"/>
      <c r="GM91" s="216"/>
      <c r="GN91" s="216"/>
      <c r="GO91" s="216"/>
      <c r="GP91" s="216"/>
      <c r="GQ91" s="216"/>
      <c r="GR91" s="216"/>
      <c r="GS91" s="216"/>
      <c r="GT91" s="216"/>
      <c r="GU91" s="216"/>
      <c r="GV91" s="216"/>
      <c r="GW91" s="216"/>
      <c r="GX91" s="216"/>
      <c r="GY91" s="216"/>
      <c r="GZ91" s="216"/>
      <c r="HA91" s="216"/>
      <c r="HB91" s="216"/>
      <c r="HC91" s="216"/>
      <c r="HD91" s="216"/>
      <c r="HE91" s="216"/>
      <c r="HF91" s="216"/>
      <c r="HG91" s="216"/>
      <c r="HH91" s="216"/>
      <c r="HI91" s="216"/>
      <c r="HJ91" s="217"/>
    </row>
    <row r="92" ht="15.0" customHeight="1">
      <c r="A92" s="189"/>
      <c r="B92" s="13"/>
      <c r="C92" s="218"/>
      <c r="D92" s="4" t="s">
        <v>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6"/>
      <c r="AS92" s="219"/>
      <c r="AT92" s="8" t="s">
        <v>1</v>
      </c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10"/>
      <c r="CQ92" s="220"/>
      <c r="CR92" s="221" t="s">
        <v>85</v>
      </c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3"/>
      <c r="DZ92" s="219"/>
      <c r="EA92" s="14" t="s">
        <v>3</v>
      </c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6"/>
      <c r="ES92" s="219"/>
      <c r="ET92" s="17" t="s">
        <v>86</v>
      </c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9"/>
      <c r="FM92" s="219"/>
      <c r="FN92" s="20" t="s">
        <v>121</v>
      </c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2"/>
      <c r="HJ92" s="222"/>
    </row>
    <row r="93" ht="15.0" customHeight="1">
      <c r="A93" s="23" t="s">
        <v>122</v>
      </c>
      <c r="B93" s="223"/>
      <c r="D93" s="224" t="s">
        <v>7</v>
      </c>
      <c r="E93" s="27"/>
      <c r="F93" s="27"/>
      <c r="G93" s="27"/>
      <c r="H93" s="27"/>
      <c r="I93" s="27"/>
      <c r="J93" s="27"/>
      <c r="K93" s="27"/>
      <c r="L93" s="28"/>
      <c r="M93" s="225" t="s">
        <v>8</v>
      </c>
      <c r="N93" s="226">
        <v>44562.0</v>
      </c>
      <c r="O93" s="226">
        <v>44563.0</v>
      </c>
      <c r="P93" s="226">
        <v>44564.0</v>
      </c>
      <c r="Q93" s="226">
        <v>44565.0</v>
      </c>
      <c r="R93" s="226">
        <v>44566.0</v>
      </c>
      <c r="S93" s="226">
        <v>44567.0</v>
      </c>
      <c r="T93" s="226">
        <v>44568.0</v>
      </c>
      <c r="U93" s="226">
        <v>44569.0</v>
      </c>
      <c r="V93" s="226">
        <v>44570.0</v>
      </c>
      <c r="W93" s="226">
        <v>44571.0</v>
      </c>
      <c r="X93" s="226">
        <v>44572.0</v>
      </c>
      <c r="Y93" s="226">
        <v>44573.0</v>
      </c>
      <c r="Z93" s="226">
        <v>44574.0</v>
      </c>
      <c r="AA93" s="226">
        <v>44575.0</v>
      </c>
      <c r="AB93" s="226">
        <v>44576.0</v>
      </c>
      <c r="AC93" s="226">
        <v>44577.0</v>
      </c>
      <c r="AD93" s="226">
        <v>44578.0</v>
      </c>
      <c r="AE93" s="226">
        <v>44579.0</v>
      </c>
      <c r="AF93" s="226">
        <v>44580.0</v>
      </c>
      <c r="AG93" s="226">
        <v>44581.0</v>
      </c>
      <c r="AH93" s="226">
        <v>44582.0</v>
      </c>
      <c r="AI93" s="226">
        <v>44583.0</v>
      </c>
      <c r="AJ93" s="226">
        <v>44584.0</v>
      </c>
      <c r="AK93" s="226">
        <v>44585.0</v>
      </c>
      <c r="AL93" s="226">
        <v>44586.0</v>
      </c>
      <c r="AM93" s="226">
        <v>44587.0</v>
      </c>
      <c r="AN93" s="226">
        <v>44588.0</v>
      </c>
      <c r="AO93" s="226">
        <v>44589.0</v>
      </c>
      <c r="AP93" s="226">
        <v>44590.0</v>
      </c>
      <c r="AQ93" s="226">
        <v>44591.0</v>
      </c>
      <c r="AR93" s="226">
        <v>44592.0</v>
      </c>
      <c r="AT93" s="227" t="s">
        <v>9</v>
      </c>
      <c r="AU93" s="228"/>
      <c r="AV93" s="228"/>
      <c r="AW93" s="229"/>
      <c r="AX93" s="230" t="s">
        <v>120</v>
      </c>
      <c r="AY93" s="228"/>
      <c r="AZ93" s="229"/>
      <c r="BA93" s="230" t="s">
        <v>114</v>
      </c>
      <c r="BB93" s="228"/>
      <c r="BC93" s="229"/>
      <c r="BD93" s="230"/>
      <c r="BE93" s="228"/>
      <c r="BF93" s="229"/>
      <c r="BG93" s="231"/>
      <c r="BH93" s="228"/>
      <c r="BI93" s="229"/>
      <c r="BJ93" s="231"/>
      <c r="BK93" s="228"/>
      <c r="BL93" s="229"/>
      <c r="BM93" s="231"/>
      <c r="BN93" s="228"/>
      <c r="BO93" s="229"/>
      <c r="BP93" s="231"/>
      <c r="BQ93" s="228"/>
      <c r="BR93" s="229"/>
      <c r="BS93" s="231"/>
      <c r="BT93" s="228"/>
      <c r="BU93" s="229"/>
      <c r="BV93" s="231"/>
      <c r="BW93" s="228"/>
      <c r="BX93" s="229"/>
      <c r="BY93" s="231"/>
      <c r="BZ93" s="228"/>
      <c r="CA93" s="229"/>
      <c r="CB93" s="231"/>
      <c r="CC93" s="228"/>
      <c r="CD93" s="229"/>
      <c r="CE93" s="231"/>
      <c r="CF93" s="228"/>
      <c r="CG93" s="229"/>
      <c r="CH93" s="231"/>
      <c r="CI93" s="228"/>
      <c r="CJ93" s="229"/>
      <c r="CK93" s="231"/>
      <c r="CL93" s="228"/>
      <c r="CM93" s="229"/>
      <c r="CN93" s="231"/>
      <c r="CO93" s="228"/>
      <c r="CP93" s="229"/>
      <c r="CQ93" s="220"/>
      <c r="CR93" s="37" t="s">
        <v>10</v>
      </c>
      <c r="CS93" s="12"/>
      <c r="CT93" s="13"/>
      <c r="CU93" s="37" t="s">
        <v>11</v>
      </c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3"/>
      <c r="DH93" s="232" t="s">
        <v>12</v>
      </c>
      <c r="DI93" s="12"/>
      <c r="DJ93" s="13"/>
      <c r="DK93" s="232" t="s">
        <v>13</v>
      </c>
      <c r="DL93" s="12"/>
      <c r="DM93" s="13"/>
      <c r="DN93" s="233" t="s">
        <v>90</v>
      </c>
      <c r="DO93" s="12"/>
      <c r="DP93" s="13"/>
      <c r="DQ93" s="37" t="s">
        <v>91</v>
      </c>
      <c r="DR93" s="12"/>
      <c r="DS93" s="13"/>
      <c r="DT93" s="234" t="s">
        <v>16</v>
      </c>
      <c r="DU93" s="12"/>
      <c r="DV93" s="13"/>
      <c r="DW93" s="233" t="s">
        <v>92</v>
      </c>
      <c r="DX93" s="12"/>
      <c r="DY93" s="13"/>
      <c r="EA93" s="235" t="s">
        <v>18</v>
      </c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6"/>
      <c r="EO93" s="236" t="s">
        <v>93</v>
      </c>
      <c r="EP93" s="16"/>
      <c r="EQ93" s="236" t="s">
        <v>94</v>
      </c>
      <c r="ER93" s="16"/>
      <c r="ET93" s="237" t="s">
        <v>20</v>
      </c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9"/>
      <c r="FJ93" s="238" t="s">
        <v>21</v>
      </c>
      <c r="FK93" s="18"/>
      <c r="FL93" s="19"/>
      <c r="FN93" s="239" t="s">
        <v>22</v>
      </c>
      <c r="FO93" s="240"/>
      <c r="FP93" s="240"/>
      <c r="FQ93" s="240"/>
      <c r="FR93" s="240"/>
      <c r="FS93" s="240"/>
      <c r="FT93" s="240"/>
      <c r="FU93" s="240"/>
      <c r="FV93" s="240"/>
      <c r="FW93" s="240"/>
      <c r="FX93" s="240"/>
      <c r="FY93" s="241"/>
      <c r="FZ93" s="242" t="s">
        <v>23</v>
      </c>
      <c r="GA93" s="241"/>
      <c r="GB93" s="243">
        <v>44317.0</v>
      </c>
      <c r="GC93" s="243">
        <v>44318.0</v>
      </c>
      <c r="GD93" s="243">
        <v>44319.0</v>
      </c>
      <c r="GE93" s="243">
        <v>44320.0</v>
      </c>
      <c r="GF93" s="243">
        <v>44321.0</v>
      </c>
      <c r="GG93" s="243">
        <v>44322.0</v>
      </c>
      <c r="GH93" s="243">
        <v>44323.0</v>
      </c>
      <c r="GI93" s="243">
        <v>44324.0</v>
      </c>
      <c r="GJ93" s="243">
        <v>44325.0</v>
      </c>
      <c r="GK93" s="243">
        <v>44326.0</v>
      </c>
      <c r="GL93" s="243">
        <v>44327.0</v>
      </c>
      <c r="GM93" s="243">
        <v>44328.0</v>
      </c>
      <c r="GN93" s="243">
        <v>44329.0</v>
      </c>
      <c r="GO93" s="243">
        <v>44330.0</v>
      </c>
      <c r="GP93" s="243">
        <v>44331.0</v>
      </c>
      <c r="GQ93" s="243">
        <v>44332.0</v>
      </c>
      <c r="GR93" s="243">
        <v>44333.0</v>
      </c>
      <c r="GS93" s="243">
        <v>44334.0</v>
      </c>
      <c r="GT93" s="243">
        <v>44335.0</v>
      </c>
      <c r="GU93" s="243">
        <v>44336.0</v>
      </c>
      <c r="GV93" s="243">
        <v>44337.0</v>
      </c>
      <c r="GW93" s="243">
        <v>44338.0</v>
      </c>
      <c r="GX93" s="243">
        <v>44339.0</v>
      </c>
      <c r="GY93" s="243">
        <v>44340.0</v>
      </c>
      <c r="GZ93" s="243">
        <v>44341.0</v>
      </c>
      <c r="HA93" s="243">
        <v>44342.0</v>
      </c>
      <c r="HB93" s="243">
        <v>44343.0</v>
      </c>
      <c r="HC93" s="243">
        <v>44344.0</v>
      </c>
      <c r="HD93" s="243">
        <v>44345.0</v>
      </c>
      <c r="HE93" s="243">
        <v>44346.0</v>
      </c>
      <c r="HF93" s="243">
        <v>44347.0</v>
      </c>
      <c r="HG93" s="244" t="s">
        <v>24</v>
      </c>
      <c r="HH93" s="240"/>
      <c r="HI93" s="241"/>
      <c r="HJ93" s="35"/>
    </row>
    <row r="94" ht="15.0" customHeight="1">
      <c r="A94" s="54"/>
      <c r="B94" s="245"/>
      <c r="D94" s="55"/>
      <c r="L94" s="33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T94" s="246"/>
      <c r="AU94" s="247"/>
      <c r="AV94" s="247"/>
      <c r="AW94" s="248"/>
      <c r="AX94" s="246"/>
      <c r="AY94" s="247"/>
      <c r="AZ94" s="248"/>
      <c r="BA94" s="246"/>
      <c r="BB94" s="247"/>
      <c r="BC94" s="248"/>
      <c r="BD94" s="246"/>
      <c r="BE94" s="247"/>
      <c r="BF94" s="248"/>
      <c r="BG94" s="246"/>
      <c r="BH94" s="247"/>
      <c r="BI94" s="248"/>
      <c r="BJ94" s="246"/>
      <c r="BK94" s="247"/>
      <c r="BL94" s="248"/>
      <c r="BM94" s="246"/>
      <c r="BN94" s="247"/>
      <c r="BO94" s="248"/>
      <c r="BP94" s="246"/>
      <c r="BQ94" s="247"/>
      <c r="BR94" s="248"/>
      <c r="BS94" s="246"/>
      <c r="BT94" s="247"/>
      <c r="BU94" s="248"/>
      <c r="BV94" s="246"/>
      <c r="BW94" s="247"/>
      <c r="BX94" s="248"/>
      <c r="BY94" s="246"/>
      <c r="BZ94" s="247"/>
      <c r="CA94" s="248"/>
      <c r="CB94" s="246"/>
      <c r="CC94" s="247"/>
      <c r="CD94" s="248"/>
      <c r="CE94" s="246"/>
      <c r="CF94" s="247"/>
      <c r="CG94" s="248"/>
      <c r="CH94" s="246"/>
      <c r="CI94" s="247"/>
      <c r="CJ94" s="248"/>
      <c r="CK94" s="246"/>
      <c r="CL94" s="247"/>
      <c r="CM94" s="248"/>
      <c r="CN94" s="246"/>
      <c r="CO94" s="247"/>
      <c r="CP94" s="248"/>
      <c r="CQ94" s="220"/>
      <c r="CR94" s="249"/>
      <c r="CS94" s="12"/>
      <c r="CT94" s="13"/>
      <c r="CU94" s="250" t="s">
        <v>25</v>
      </c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3"/>
      <c r="DH94" s="251">
        <f t="shared" ref="DH94:DH99" si="32">SUM(N97:AR97)</f>
        <v>0</v>
      </c>
      <c r="DI94" s="12"/>
      <c r="DJ94" s="13"/>
      <c r="DK94" s="252">
        <v>0.0</v>
      </c>
      <c r="DL94" s="12"/>
      <c r="DM94" s="13"/>
      <c r="DN94" s="253">
        <f t="shared" ref="DN94:DN105" si="33">CR94*DT94/100</f>
        <v>0</v>
      </c>
      <c r="DO94" s="12"/>
      <c r="DP94" s="13"/>
      <c r="DQ94" s="252">
        <v>0.0</v>
      </c>
      <c r="DR94" s="12"/>
      <c r="DS94" s="13"/>
      <c r="DT94" s="254">
        <v>0.0</v>
      </c>
      <c r="DU94" s="12"/>
      <c r="DV94" s="13"/>
      <c r="DW94" s="255" t="str">
        <f>(DK94-DH94)/'График'!AK66</f>
        <v>#DIV/0!</v>
      </c>
      <c r="DX94" s="12"/>
      <c r="DY94" s="13"/>
      <c r="EA94" s="256" t="s">
        <v>26</v>
      </c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6"/>
      <c r="EO94" s="257" t="str">
        <f>DH96*100/DH94</f>
        <v>#DIV/0!</v>
      </c>
      <c r="EP94" s="16"/>
      <c r="EQ94" s="257" t="str">
        <f>((DH96*100/DH94)+EO76)/2</f>
        <v>#DIV/0!</v>
      </c>
      <c r="ER94" s="16"/>
      <c r="ET94" s="258" t="s">
        <v>27</v>
      </c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9"/>
      <c r="FJ94" s="259">
        <f>HG103</f>
        <v>0</v>
      </c>
      <c r="FK94" s="18"/>
      <c r="FL94" s="19"/>
      <c r="FN94" s="260"/>
      <c r="FY94" s="261"/>
      <c r="FZ94" s="260"/>
      <c r="GA94" s="261"/>
      <c r="GB94" s="262"/>
      <c r="GC94" s="262"/>
      <c r="GD94" s="262"/>
      <c r="GE94" s="262"/>
      <c r="GF94" s="262"/>
      <c r="GG94" s="262"/>
      <c r="GH94" s="262"/>
      <c r="GI94" s="262"/>
      <c r="GJ94" s="262"/>
      <c r="GK94" s="262"/>
      <c r="GL94" s="262"/>
      <c r="GM94" s="262"/>
      <c r="GN94" s="262"/>
      <c r="GO94" s="262"/>
      <c r="GP94" s="262"/>
      <c r="GQ94" s="262"/>
      <c r="GR94" s="262"/>
      <c r="GS94" s="262"/>
      <c r="GT94" s="262"/>
      <c r="GU94" s="262"/>
      <c r="GV94" s="262"/>
      <c r="GW94" s="262"/>
      <c r="GX94" s="262"/>
      <c r="GY94" s="262"/>
      <c r="GZ94" s="262"/>
      <c r="HA94" s="262"/>
      <c r="HB94" s="262"/>
      <c r="HC94" s="262"/>
      <c r="HD94" s="262"/>
      <c r="HE94" s="262"/>
      <c r="HF94" s="262"/>
      <c r="HG94" s="260"/>
      <c r="HI94" s="261"/>
      <c r="HJ94" s="35"/>
    </row>
    <row r="95" ht="15.0" customHeight="1">
      <c r="A95" s="54"/>
      <c r="B95" s="245"/>
      <c r="D95" s="55"/>
      <c r="L95" s="33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T95" s="263" t="s">
        <v>21</v>
      </c>
      <c r="AU95" s="9"/>
      <c r="AV95" s="9"/>
      <c r="AW95" s="10"/>
      <c r="AX95" s="264">
        <v>20000.0</v>
      </c>
      <c r="AY95" s="9"/>
      <c r="AZ95" s="10"/>
      <c r="BA95" s="264">
        <v>25000.0</v>
      </c>
      <c r="BB95" s="9"/>
      <c r="BC95" s="10"/>
      <c r="BD95" s="264"/>
      <c r="BE95" s="9"/>
      <c r="BF95" s="10"/>
      <c r="BG95" s="264"/>
      <c r="BH95" s="9"/>
      <c r="BI95" s="10"/>
      <c r="BJ95" s="264"/>
      <c r="BK95" s="9"/>
      <c r="BL95" s="10"/>
      <c r="BM95" s="264"/>
      <c r="BN95" s="9"/>
      <c r="BO95" s="10"/>
      <c r="BP95" s="264"/>
      <c r="BQ95" s="9"/>
      <c r="BR95" s="10"/>
      <c r="BS95" s="264"/>
      <c r="BT95" s="9"/>
      <c r="BU95" s="10"/>
      <c r="BV95" s="264"/>
      <c r="BW95" s="9"/>
      <c r="BX95" s="10"/>
      <c r="BY95" s="264"/>
      <c r="BZ95" s="9"/>
      <c r="CA95" s="10"/>
      <c r="CB95" s="264"/>
      <c r="CC95" s="9"/>
      <c r="CD95" s="10"/>
      <c r="CE95" s="264"/>
      <c r="CF95" s="9"/>
      <c r="CG95" s="10"/>
      <c r="CH95" s="264"/>
      <c r="CI95" s="9"/>
      <c r="CJ95" s="10"/>
      <c r="CK95" s="264"/>
      <c r="CL95" s="9"/>
      <c r="CM95" s="10"/>
      <c r="CN95" s="264"/>
      <c r="CO95" s="9"/>
      <c r="CP95" s="10"/>
      <c r="CQ95" s="220"/>
      <c r="CR95" s="249"/>
      <c r="CS95" s="12"/>
      <c r="CT95" s="13"/>
      <c r="CU95" s="250" t="s">
        <v>28</v>
      </c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3"/>
      <c r="DH95" s="251">
        <f t="shared" si="32"/>
        <v>0</v>
      </c>
      <c r="DI95" s="12"/>
      <c r="DJ95" s="13"/>
      <c r="DK95" s="252">
        <v>80.0</v>
      </c>
      <c r="DL95" s="12"/>
      <c r="DM95" s="13"/>
      <c r="DN95" s="253">
        <f t="shared" si="33"/>
        <v>0</v>
      </c>
      <c r="DO95" s="12"/>
      <c r="DP95" s="13"/>
      <c r="DQ95" s="251">
        <f t="shared" ref="DQ95:DQ98" si="34">IF(DH95&lt;DK95,DH95,IF(DH95&gt;=DK95,DK95))</f>
        <v>0</v>
      </c>
      <c r="DR95" s="12"/>
      <c r="DS95" s="13"/>
      <c r="DT95" s="254">
        <f t="shared" ref="DT95:DT98" si="35">DQ95*100/DK95</f>
        <v>0</v>
      </c>
      <c r="DU95" s="12"/>
      <c r="DV95" s="13"/>
      <c r="DW95" s="255" t="str">
        <f>(DK95-DH95)/'График'!AK66</f>
        <v>#DIV/0!</v>
      </c>
      <c r="DX95" s="12"/>
      <c r="DY95" s="13"/>
      <c r="EA95" s="256" t="s">
        <v>29</v>
      </c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6"/>
      <c r="EO95" s="257" t="str">
        <f>DH97*100/DH94</f>
        <v>#DIV/0!</v>
      </c>
      <c r="EP95" s="16"/>
      <c r="EQ95" s="257" t="str">
        <f>((DH96*100/DH94)+EO77)/2</f>
        <v>#DIV/0!</v>
      </c>
      <c r="ER95" s="16"/>
      <c r="ET95" s="265" t="s">
        <v>30</v>
      </c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9"/>
      <c r="FJ95" s="259">
        <f>sum(DN97,DN98,DN100)</f>
        <v>4000</v>
      </c>
      <c r="FK95" s="18"/>
      <c r="FL95" s="19"/>
      <c r="FN95" s="260"/>
      <c r="FY95" s="261"/>
      <c r="FZ95" s="260"/>
      <c r="GA95" s="261"/>
      <c r="GB95" s="262"/>
      <c r="GC95" s="262"/>
      <c r="GD95" s="262"/>
      <c r="GE95" s="262"/>
      <c r="GF95" s="262"/>
      <c r="GG95" s="262"/>
      <c r="GH95" s="262"/>
      <c r="GI95" s="262"/>
      <c r="GJ95" s="262"/>
      <c r="GK95" s="262"/>
      <c r="GL95" s="262"/>
      <c r="GM95" s="262"/>
      <c r="GN95" s="262"/>
      <c r="GO95" s="262"/>
      <c r="GP95" s="262"/>
      <c r="GQ95" s="262"/>
      <c r="GR95" s="262"/>
      <c r="GS95" s="262"/>
      <c r="GT95" s="262"/>
      <c r="GU95" s="262"/>
      <c r="GV95" s="262"/>
      <c r="GW95" s="262"/>
      <c r="GX95" s="262"/>
      <c r="GY95" s="262"/>
      <c r="GZ95" s="262"/>
      <c r="HA95" s="262"/>
      <c r="HB95" s="262"/>
      <c r="HC95" s="262"/>
      <c r="HD95" s="262"/>
      <c r="HE95" s="262"/>
      <c r="HF95" s="262"/>
      <c r="HG95" s="260"/>
      <c r="HI95" s="261"/>
      <c r="HJ95" s="35"/>
    </row>
    <row r="96" ht="15.0" customHeight="1">
      <c r="A96" s="54"/>
      <c r="B96" s="245"/>
      <c r="D96" s="57"/>
      <c r="E96" s="39"/>
      <c r="F96" s="39"/>
      <c r="G96" s="39"/>
      <c r="H96" s="39"/>
      <c r="I96" s="39"/>
      <c r="J96" s="39"/>
      <c r="K96" s="39"/>
      <c r="L96" s="40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T96" s="266" t="s">
        <v>31</v>
      </c>
      <c r="AU96" s="9"/>
      <c r="AV96" s="9"/>
      <c r="AW96" s="10"/>
      <c r="AX96" s="267">
        <v>1.0</v>
      </c>
      <c r="AY96" s="9"/>
      <c r="AZ96" s="10"/>
      <c r="BA96" s="267">
        <v>2.0</v>
      </c>
      <c r="BB96" s="9"/>
      <c r="BC96" s="10"/>
      <c r="BD96" s="267">
        <v>3.0</v>
      </c>
      <c r="BE96" s="9"/>
      <c r="BF96" s="10"/>
      <c r="BG96" s="267"/>
      <c r="BH96" s="9"/>
      <c r="BI96" s="10"/>
      <c r="BJ96" s="267"/>
      <c r="BK96" s="9"/>
      <c r="BL96" s="10"/>
      <c r="BM96" s="267"/>
      <c r="BN96" s="9"/>
      <c r="BO96" s="10"/>
      <c r="BP96" s="267"/>
      <c r="BQ96" s="9"/>
      <c r="BR96" s="10"/>
      <c r="BS96" s="267"/>
      <c r="BT96" s="9"/>
      <c r="BU96" s="10"/>
      <c r="BV96" s="267"/>
      <c r="BW96" s="9"/>
      <c r="BX96" s="10"/>
      <c r="BY96" s="267"/>
      <c r="BZ96" s="9"/>
      <c r="CA96" s="10"/>
      <c r="CB96" s="267"/>
      <c r="CC96" s="9"/>
      <c r="CD96" s="10"/>
      <c r="CE96" s="267"/>
      <c r="CF96" s="9"/>
      <c r="CG96" s="10"/>
      <c r="CH96" s="267"/>
      <c r="CI96" s="9"/>
      <c r="CJ96" s="10"/>
      <c r="CK96" s="267"/>
      <c r="CL96" s="9"/>
      <c r="CM96" s="10"/>
      <c r="CN96" s="267"/>
      <c r="CO96" s="9"/>
      <c r="CP96" s="10"/>
      <c r="CQ96" s="220"/>
      <c r="CR96" s="249"/>
      <c r="CS96" s="12"/>
      <c r="CT96" s="13"/>
      <c r="CU96" s="268" t="s">
        <v>32</v>
      </c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3"/>
      <c r="DH96" s="251">
        <f t="shared" si="32"/>
        <v>0</v>
      </c>
      <c r="DI96" s="12"/>
      <c r="DJ96" s="13"/>
      <c r="DK96" s="252">
        <v>5.0</v>
      </c>
      <c r="DL96" s="12"/>
      <c r="DM96" s="13"/>
      <c r="DN96" s="253">
        <f t="shared" si="33"/>
        <v>0</v>
      </c>
      <c r="DO96" s="12"/>
      <c r="DP96" s="13"/>
      <c r="DQ96" s="251">
        <f t="shared" si="34"/>
        <v>0</v>
      </c>
      <c r="DR96" s="12"/>
      <c r="DS96" s="13"/>
      <c r="DT96" s="254">
        <f t="shared" si="35"/>
        <v>0</v>
      </c>
      <c r="DU96" s="12"/>
      <c r="DV96" s="13"/>
      <c r="DW96" s="255" t="str">
        <f>(DK96-DH96)/'График'!AK66</f>
        <v>#DIV/0!</v>
      </c>
      <c r="DX96" s="12"/>
      <c r="DY96" s="13"/>
      <c r="EA96" s="269" t="s">
        <v>33</v>
      </c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6"/>
      <c r="EO96" s="257" t="str">
        <f>DH98*100/DH94</f>
        <v>#DIV/0!</v>
      </c>
      <c r="EP96" s="16"/>
      <c r="EQ96" s="257" t="str">
        <f>((DH98*100/DH94)+EO78)/2</f>
        <v>#DIV/0!</v>
      </c>
      <c r="ER96" s="16"/>
      <c r="ET96" s="265" t="s">
        <v>34</v>
      </c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9"/>
      <c r="FJ96" s="270">
        <f>sum(DT97,DT98,DT100)/3</f>
        <v>53.33333333</v>
      </c>
      <c r="FK96" s="18"/>
      <c r="FL96" s="19"/>
      <c r="FN96" s="271"/>
      <c r="FO96" s="272"/>
      <c r="FP96" s="272"/>
      <c r="FQ96" s="272"/>
      <c r="FR96" s="272"/>
      <c r="FS96" s="272"/>
      <c r="FT96" s="272"/>
      <c r="FU96" s="272"/>
      <c r="FV96" s="272"/>
      <c r="FW96" s="272"/>
      <c r="FX96" s="272"/>
      <c r="FY96" s="273"/>
      <c r="FZ96" s="271"/>
      <c r="GA96" s="273"/>
      <c r="GB96" s="274"/>
      <c r="GC96" s="274"/>
      <c r="GD96" s="274"/>
      <c r="GE96" s="274"/>
      <c r="GF96" s="274"/>
      <c r="GG96" s="274"/>
      <c r="GH96" s="274"/>
      <c r="GI96" s="274"/>
      <c r="GJ96" s="274"/>
      <c r="GK96" s="274"/>
      <c r="GL96" s="274"/>
      <c r="GM96" s="274"/>
      <c r="GN96" s="274"/>
      <c r="GO96" s="274"/>
      <c r="GP96" s="274"/>
      <c r="GQ96" s="274"/>
      <c r="GR96" s="274"/>
      <c r="GS96" s="274"/>
      <c r="GT96" s="274"/>
      <c r="GU96" s="274"/>
      <c r="GV96" s="274"/>
      <c r="GW96" s="274"/>
      <c r="GX96" s="274"/>
      <c r="GY96" s="274"/>
      <c r="GZ96" s="274"/>
      <c r="HA96" s="274"/>
      <c r="HB96" s="274"/>
      <c r="HC96" s="274"/>
      <c r="HD96" s="274"/>
      <c r="HE96" s="274"/>
      <c r="HF96" s="274"/>
      <c r="HG96" s="271"/>
      <c r="HH96" s="272"/>
      <c r="HI96" s="273"/>
      <c r="HJ96" s="35"/>
    </row>
    <row r="97" ht="15.0" customHeight="1">
      <c r="A97" s="54"/>
      <c r="B97" s="245"/>
      <c r="D97" s="275" t="s">
        <v>35</v>
      </c>
      <c r="E97" s="5"/>
      <c r="F97" s="5"/>
      <c r="G97" s="5"/>
      <c r="H97" s="5"/>
      <c r="I97" s="5"/>
      <c r="J97" s="5"/>
      <c r="K97" s="5"/>
      <c r="L97" s="5"/>
      <c r="M97" s="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6"/>
      <c r="AH97" s="276"/>
      <c r="AI97" s="276"/>
      <c r="AJ97" s="276"/>
      <c r="AK97" s="276"/>
      <c r="AL97" s="276"/>
      <c r="AM97" s="276"/>
      <c r="AN97" s="276"/>
      <c r="AO97" s="276"/>
      <c r="AP97" s="276"/>
      <c r="AQ97" s="276"/>
      <c r="AR97" s="276"/>
      <c r="AT97" s="277" t="s">
        <v>36</v>
      </c>
      <c r="AU97" s="9"/>
      <c r="AV97" s="10"/>
      <c r="AW97" s="278" t="s">
        <v>37</v>
      </c>
      <c r="AX97" s="279">
        <v>5.0</v>
      </c>
      <c r="AY97" s="9"/>
      <c r="AZ97" s="10"/>
      <c r="BA97" s="279">
        <v>5.0</v>
      </c>
      <c r="BB97" s="9"/>
      <c r="BC97" s="10"/>
      <c r="BD97" s="279">
        <v>5.0</v>
      </c>
      <c r="BE97" s="9"/>
      <c r="BF97" s="10"/>
      <c r="BG97" s="279">
        <v>10.0</v>
      </c>
      <c r="BH97" s="9"/>
      <c r="BI97" s="10"/>
      <c r="BJ97" s="279">
        <v>10.0</v>
      </c>
      <c r="BK97" s="9"/>
      <c r="BL97" s="10"/>
      <c r="BM97" s="279">
        <v>10.0</v>
      </c>
      <c r="BN97" s="9"/>
      <c r="BO97" s="10"/>
      <c r="BP97" s="279">
        <v>10.0</v>
      </c>
      <c r="BQ97" s="9"/>
      <c r="BR97" s="10"/>
      <c r="BS97" s="279">
        <v>10.0</v>
      </c>
      <c r="BT97" s="9"/>
      <c r="BU97" s="10"/>
      <c r="BV97" s="279">
        <v>10.0</v>
      </c>
      <c r="BW97" s="9"/>
      <c r="BX97" s="10"/>
      <c r="BY97" s="279">
        <v>10.0</v>
      </c>
      <c r="BZ97" s="9"/>
      <c r="CA97" s="10"/>
      <c r="CB97" s="279">
        <v>10.0</v>
      </c>
      <c r="CC97" s="9"/>
      <c r="CD97" s="10"/>
      <c r="CE97" s="279">
        <v>10.0</v>
      </c>
      <c r="CF97" s="9"/>
      <c r="CG97" s="10"/>
      <c r="CH97" s="279">
        <v>10.0</v>
      </c>
      <c r="CI97" s="9"/>
      <c r="CJ97" s="10"/>
      <c r="CK97" s="279">
        <v>10.0</v>
      </c>
      <c r="CL97" s="9"/>
      <c r="CM97" s="10"/>
      <c r="CN97" s="279">
        <v>10.0</v>
      </c>
      <c r="CO97" s="9"/>
      <c r="CP97" s="10"/>
      <c r="CQ97" s="220"/>
      <c r="CR97" s="249">
        <v>10000.0</v>
      </c>
      <c r="CS97" s="12"/>
      <c r="CT97" s="13"/>
      <c r="CU97" s="268" t="s">
        <v>38</v>
      </c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3"/>
      <c r="DH97" s="251">
        <f t="shared" si="32"/>
        <v>0</v>
      </c>
      <c r="DI97" s="12"/>
      <c r="DJ97" s="13"/>
      <c r="DK97" s="252">
        <v>5.0</v>
      </c>
      <c r="DL97" s="12"/>
      <c r="DM97" s="13"/>
      <c r="DN97" s="253">
        <f t="shared" si="33"/>
        <v>0</v>
      </c>
      <c r="DO97" s="12"/>
      <c r="DP97" s="13"/>
      <c r="DQ97" s="251">
        <f t="shared" si="34"/>
        <v>0</v>
      </c>
      <c r="DR97" s="12"/>
      <c r="DS97" s="13"/>
      <c r="DT97" s="254">
        <f t="shared" si="35"/>
        <v>0</v>
      </c>
      <c r="DU97" s="12"/>
      <c r="DV97" s="13"/>
      <c r="DW97" s="255" t="str">
        <f>(DK97-DH97)/'График'!AK66</f>
        <v>#DIV/0!</v>
      </c>
      <c r="DX97" s="12"/>
      <c r="DY97" s="13"/>
      <c r="EA97" s="256" t="s">
        <v>39</v>
      </c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6"/>
      <c r="EO97" s="257" t="str">
        <f>DH96*100/DH95</f>
        <v>#DIV/0!</v>
      </c>
      <c r="EP97" s="16"/>
      <c r="EQ97" s="257" t="str">
        <f>((DH96*100/DH95)+EO79)/2</f>
        <v>#DIV/0!</v>
      </c>
      <c r="ER97" s="16"/>
      <c r="ET97" s="258" t="s">
        <v>40</v>
      </c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9"/>
      <c r="FJ97" s="259">
        <f>sum(AX106:CP106)</f>
        <v>0</v>
      </c>
      <c r="FK97" s="18"/>
      <c r="FL97" s="19"/>
      <c r="FN97" s="280" t="s">
        <v>41</v>
      </c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2"/>
      <c r="FZ97" s="281">
        <v>200.0</v>
      </c>
      <c r="GA97" s="22"/>
      <c r="GB97" s="282"/>
      <c r="GC97" s="283"/>
      <c r="GD97" s="282"/>
      <c r="GE97" s="283"/>
      <c r="GF97" s="283"/>
      <c r="GG97" s="282"/>
      <c r="GH97" s="283"/>
      <c r="GI97" s="283"/>
      <c r="GJ97" s="283"/>
      <c r="GK97" s="282"/>
      <c r="GL97" s="282"/>
      <c r="GM97" s="283"/>
      <c r="GN97" s="282"/>
      <c r="GO97" s="283"/>
      <c r="GP97" s="283"/>
      <c r="GQ97" s="282"/>
      <c r="GR97" s="282"/>
      <c r="GS97" s="283"/>
      <c r="GT97" s="283"/>
      <c r="GU97" s="282"/>
      <c r="GV97" s="283"/>
      <c r="GW97" s="283"/>
      <c r="GX97" s="283"/>
      <c r="GY97" s="282"/>
      <c r="GZ97" s="283"/>
      <c r="HA97" s="283"/>
      <c r="HB97" s="283"/>
      <c r="HC97" s="282"/>
      <c r="HD97" s="283"/>
      <c r="HE97" s="283"/>
      <c r="HF97" s="284"/>
      <c r="HG97" s="285">
        <f t="shared" ref="HG97:HG102" si="36">sum(GB97:HF97)*FZ97</f>
        <v>0</v>
      </c>
      <c r="HH97" s="240"/>
      <c r="HI97" s="241"/>
      <c r="HJ97" s="35"/>
    </row>
    <row r="98" ht="15.0" customHeight="1">
      <c r="A98" s="54"/>
      <c r="B98" s="245"/>
      <c r="D98" s="286" t="s">
        <v>42</v>
      </c>
      <c r="E98" s="5"/>
      <c r="F98" s="5"/>
      <c r="G98" s="5"/>
      <c r="H98" s="5"/>
      <c r="I98" s="5"/>
      <c r="J98" s="5"/>
      <c r="K98" s="5"/>
      <c r="L98" s="5"/>
      <c r="M98" s="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  <c r="AE98" s="276"/>
      <c r="AF98" s="276"/>
      <c r="AG98" s="276"/>
      <c r="AH98" s="276"/>
      <c r="AI98" s="276"/>
      <c r="AJ98" s="276"/>
      <c r="AK98" s="276"/>
      <c r="AL98" s="276"/>
      <c r="AM98" s="276"/>
      <c r="AN98" s="276"/>
      <c r="AO98" s="276"/>
      <c r="AP98" s="276"/>
      <c r="AQ98" s="276"/>
      <c r="AR98" s="276"/>
      <c r="AT98" s="287">
        <f>SUM(AX98:CO98)</f>
        <v>2250</v>
      </c>
      <c r="AU98" s="9"/>
      <c r="AV98" s="9"/>
      <c r="AW98" s="10"/>
      <c r="AX98" s="288">
        <f>(AX95*AX97)/100</f>
        <v>1000</v>
      </c>
      <c r="AY98" s="9"/>
      <c r="AZ98" s="10"/>
      <c r="BA98" s="288">
        <f>(BA95*BA97)/100</f>
        <v>1250</v>
      </c>
      <c r="BB98" s="9"/>
      <c r="BC98" s="10"/>
      <c r="BD98" s="288">
        <f>(BD95*BD97)/100</f>
        <v>0</v>
      </c>
      <c r="BE98" s="9"/>
      <c r="BF98" s="10"/>
      <c r="BG98" s="288">
        <f>(BG95*BG97)/100</f>
        <v>0</v>
      </c>
      <c r="BH98" s="9"/>
      <c r="BI98" s="10"/>
      <c r="BJ98" s="288">
        <f>(BJ95*BJ97)/100</f>
        <v>0</v>
      </c>
      <c r="BK98" s="9"/>
      <c r="BL98" s="10"/>
      <c r="BM98" s="288">
        <f>(BM95*BM97)/100</f>
        <v>0</v>
      </c>
      <c r="BN98" s="9"/>
      <c r="BO98" s="10"/>
      <c r="BP98" s="288">
        <f>(BP95*BP97)/100</f>
        <v>0</v>
      </c>
      <c r="BQ98" s="9"/>
      <c r="BR98" s="10"/>
      <c r="BS98" s="288">
        <f>(BS95*BS97)/100</f>
        <v>0</v>
      </c>
      <c r="BT98" s="9"/>
      <c r="BU98" s="10"/>
      <c r="BV98" s="288">
        <f>(BV95*BV97)/100</f>
        <v>0</v>
      </c>
      <c r="BW98" s="9"/>
      <c r="BX98" s="10"/>
      <c r="BY98" s="288">
        <f>(BY95*BY97)/100</f>
        <v>0</v>
      </c>
      <c r="BZ98" s="9"/>
      <c r="CA98" s="10"/>
      <c r="CB98" s="288">
        <f>(CB95*CB97)/100</f>
        <v>0</v>
      </c>
      <c r="CC98" s="9"/>
      <c r="CD98" s="10"/>
      <c r="CE98" s="288">
        <f>(CE95*CE97)/100</f>
        <v>0</v>
      </c>
      <c r="CF98" s="9"/>
      <c r="CG98" s="10"/>
      <c r="CH98" s="288">
        <f>(CH95*CH97)/100</f>
        <v>0</v>
      </c>
      <c r="CI98" s="9"/>
      <c r="CJ98" s="10"/>
      <c r="CK98" s="288">
        <f>(CK95*CK97)/100</f>
        <v>0</v>
      </c>
      <c r="CL98" s="9"/>
      <c r="CM98" s="10"/>
      <c r="CN98" s="288">
        <f>(CN95*CN97)/100</f>
        <v>0</v>
      </c>
      <c r="CO98" s="9"/>
      <c r="CP98" s="10"/>
      <c r="CQ98" s="220"/>
      <c r="CR98" s="249">
        <v>2500.0</v>
      </c>
      <c r="CS98" s="12"/>
      <c r="CT98" s="13"/>
      <c r="CU98" s="250" t="s">
        <v>43</v>
      </c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3"/>
      <c r="DH98" s="251">
        <f t="shared" si="32"/>
        <v>1</v>
      </c>
      <c r="DI98" s="12"/>
      <c r="DJ98" s="13"/>
      <c r="DK98" s="252">
        <v>1.0</v>
      </c>
      <c r="DL98" s="12"/>
      <c r="DM98" s="13"/>
      <c r="DN98" s="253">
        <f t="shared" si="33"/>
        <v>2500</v>
      </c>
      <c r="DO98" s="12"/>
      <c r="DP98" s="13"/>
      <c r="DQ98" s="251">
        <f t="shared" si="34"/>
        <v>1</v>
      </c>
      <c r="DR98" s="12"/>
      <c r="DS98" s="13"/>
      <c r="DT98" s="254">
        <f t="shared" si="35"/>
        <v>100</v>
      </c>
      <c r="DU98" s="12"/>
      <c r="DV98" s="13"/>
      <c r="DW98" s="255" t="str">
        <f>(DK98-DH98)/'График'!AK66</f>
        <v>#DIV/0!</v>
      </c>
      <c r="DX98" s="12"/>
      <c r="DY98" s="13"/>
      <c r="EA98" s="256" t="s">
        <v>44</v>
      </c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6"/>
      <c r="EO98" s="257" t="str">
        <f>DH97*100/DH95</f>
        <v>#DIV/0!</v>
      </c>
      <c r="EP98" s="16"/>
      <c r="EQ98" s="257" t="str">
        <f>((DH97*100/DH95)+EO80)/2</f>
        <v>#DIV/0!</v>
      </c>
      <c r="ER98" s="16"/>
      <c r="ET98" s="258" t="s">
        <v>45</v>
      </c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9"/>
      <c r="FJ98" s="259">
        <f>AT98</f>
        <v>2250</v>
      </c>
      <c r="FK98" s="18"/>
      <c r="FL98" s="19"/>
      <c r="FN98" s="280" t="s">
        <v>46</v>
      </c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2"/>
      <c r="FZ98" s="281">
        <v>200.0</v>
      </c>
      <c r="GA98" s="22"/>
      <c r="GB98" s="282"/>
      <c r="GC98" s="283"/>
      <c r="GD98" s="282"/>
      <c r="GE98" s="283"/>
      <c r="GF98" s="283"/>
      <c r="GG98" s="283"/>
      <c r="GH98" s="283"/>
      <c r="GI98" s="282"/>
      <c r="GJ98" s="283"/>
      <c r="GK98" s="283"/>
      <c r="GL98" s="283"/>
      <c r="GM98" s="283"/>
      <c r="GN98" s="283"/>
      <c r="GO98" s="283"/>
      <c r="GP98" s="283"/>
      <c r="GQ98" s="283"/>
      <c r="GR98" s="283"/>
      <c r="GS98" s="283"/>
      <c r="GT98" s="283"/>
      <c r="GU98" s="283"/>
      <c r="GV98" s="283"/>
      <c r="GW98" s="283"/>
      <c r="GX98" s="283"/>
      <c r="GY98" s="283"/>
      <c r="GZ98" s="283"/>
      <c r="HA98" s="283"/>
      <c r="HB98" s="283"/>
      <c r="HC98" s="283"/>
      <c r="HD98" s="283"/>
      <c r="HE98" s="283"/>
      <c r="HF98" s="289"/>
      <c r="HG98" s="290">
        <f t="shared" si="36"/>
        <v>0</v>
      </c>
      <c r="HH98" s="291"/>
      <c r="HI98" s="292"/>
      <c r="HJ98" s="35"/>
    </row>
    <row r="99" ht="15.0" customHeight="1">
      <c r="A99" s="54"/>
      <c r="B99" s="245"/>
      <c r="D99" s="293" t="s">
        <v>32</v>
      </c>
      <c r="E99" s="5"/>
      <c r="F99" s="5"/>
      <c r="G99" s="5"/>
      <c r="H99" s="5"/>
      <c r="I99" s="5"/>
      <c r="J99" s="5"/>
      <c r="K99" s="5"/>
      <c r="L99" s="5"/>
      <c r="M99" s="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  <c r="AE99" s="276"/>
      <c r="AF99" s="276"/>
      <c r="AG99" s="276"/>
      <c r="AH99" s="276"/>
      <c r="AI99" s="276"/>
      <c r="AJ99" s="276"/>
      <c r="AK99" s="276"/>
      <c r="AL99" s="276"/>
      <c r="AM99" s="276"/>
      <c r="AN99" s="276"/>
      <c r="AO99" s="276"/>
      <c r="AP99" s="276"/>
      <c r="AQ99" s="276"/>
      <c r="AR99" s="276"/>
      <c r="AT99" s="277" t="s">
        <v>47</v>
      </c>
      <c r="AU99" s="9"/>
      <c r="AV99" s="10"/>
      <c r="AW99" s="278" t="s">
        <v>37</v>
      </c>
      <c r="AX99" s="279"/>
      <c r="AY99" s="9"/>
      <c r="AZ99" s="10"/>
      <c r="BA99" s="279">
        <v>5.0</v>
      </c>
      <c r="BB99" s="9"/>
      <c r="BC99" s="10"/>
      <c r="BD99" s="279">
        <v>5.0</v>
      </c>
      <c r="BE99" s="9"/>
      <c r="BF99" s="10"/>
      <c r="BG99" s="279">
        <v>5.0</v>
      </c>
      <c r="BH99" s="9"/>
      <c r="BI99" s="10"/>
      <c r="BJ99" s="279">
        <v>5.0</v>
      </c>
      <c r="BK99" s="9"/>
      <c r="BL99" s="10"/>
      <c r="BM99" s="279">
        <v>5.0</v>
      </c>
      <c r="BN99" s="9"/>
      <c r="BO99" s="10"/>
      <c r="BP99" s="279">
        <v>5.0</v>
      </c>
      <c r="BQ99" s="9"/>
      <c r="BR99" s="10"/>
      <c r="BS99" s="279">
        <v>5.0</v>
      </c>
      <c r="BT99" s="9"/>
      <c r="BU99" s="10"/>
      <c r="BV99" s="279">
        <v>5.0</v>
      </c>
      <c r="BW99" s="9"/>
      <c r="BX99" s="10"/>
      <c r="BY99" s="279">
        <v>5.0</v>
      </c>
      <c r="BZ99" s="9"/>
      <c r="CA99" s="10"/>
      <c r="CB99" s="279">
        <v>5.0</v>
      </c>
      <c r="CC99" s="9"/>
      <c r="CD99" s="10"/>
      <c r="CE99" s="279">
        <v>5.0</v>
      </c>
      <c r="CF99" s="9"/>
      <c r="CG99" s="10"/>
      <c r="CH99" s="279">
        <v>5.0</v>
      </c>
      <c r="CI99" s="9"/>
      <c r="CJ99" s="10"/>
      <c r="CK99" s="279">
        <v>5.0</v>
      </c>
      <c r="CL99" s="9"/>
      <c r="CM99" s="10"/>
      <c r="CN99" s="279">
        <v>5.0</v>
      </c>
      <c r="CO99" s="9"/>
      <c r="CP99" s="10"/>
      <c r="CQ99" s="220"/>
      <c r="CR99" s="249"/>
      <c r="CS99" s="12"/>
      <c r="CT99" s="13"/>
      <c r="CU99" s="268" t="s">
        <v>48</v>
      </c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3"/>
      <c r="DH99" s="251">
        <f t="shared" si="32"/>
        <v>0</v>
      </c>
      <c r="DI99" s="12"/>
      <c r="DJ99" s="13"/>
      <c r="DK99" s="252">
        <v>0.0</v>
      </c>
      <c r="DL99" s="12"/>
      <c r="DM99" s="13"/>
      <c r="DN99" s="253">
        <f t="shared" si="33"/>
        <v>0</v>
      </c>
      <c r="DO99" s="12"/>
      <c r="DP99" s="13"/>
      <c r="DQ99" s="251">
        <v>0.0</v>
      </c>
      <c r="DR99" s="12"/>
      <c r="DS99" s="13"/>
      <c r="DT99" s="254">
        <v>0.0</v>
      </c>
      <c r="DU99" s="12"/>
      <c r="DV99" s="13"/>
      <c r="DW99" s="255" t="str">
        <f>(DK99-DH99)/'График'!AK66</f>
        <v>#DIV/0!</v>
      </c>
      <c r="DX99" s="12"/>
      <c r="DY99" s="13"/>
      <c r="EA99" s="269" t="s">
        <v>49</v>
      </c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6"/>
      <c r="EO99" s="257" t="str">
        <f>DH98*100/DH95</f>
        <v>#DIV/0!</v>
      </c>
      <c r="EP99" s="16"/>
      <c r="EQ99" s="257" t="str">
        <f>((DH98*100/DH95)+EO81)/2</f>
        <v>#DIV/0!</v>
      </c>
      <c r="ER99" s="16"/>
      <c r="ET99" s="258" t="s">
        <v>50</v>
      </c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9"/>
      <c r="FJ99" s="259">
        <f>AT100</f>
        <v>1250</v>
      </c>
      <c r="FK99" s="18"/>
      <c r="FL99" s="19"/>
      <c r="FN99" s="280" t="s">
        <v>51</v>
      </c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2"/>
      <c r="FZ99" s="281">
        <v>500.0</v>
      </c>
      <c r="GA99" s="22"/>
      <c r="GB99" s="282"/>
      <c r="GC99" s="283"/>
      <c r="GD99" s="283"/>
      <c r="GE99" s="283"/>
      <c r="GF99" s="283"/>
      <c r="GG99" s="283"/>
      <c r="GH99" s="283"/>
      <c r="GI99" s="282"/>
      <c r="GJ99" s="283"/>
      <c r="GK99" s="283"/>
      <c r="GL99" s="283"/>
      <c r="GM99" s="283"/>
      <c r="GN99" s="283"/>
      <c r="GO99" s="283"/>
      <c r="GP99" s="283"/>
      <c r="GQ99" s="283"/>
      <c r="GR99" s="283"/>
      <c r="GS99" s="283"/>
      <c r="GT99" s="283"/>
      <c r="GU99" s="283"/>
      <c r="GV99" s="283"/>
      <c r="GW99" s="283"/>
      <c r="GX99" s="283"/>
      <c r="GY99" s="283"/>
      <c r="GZ99" s="283"/>
      <c r="HA99" s="283"/>
      <c r="HB99" s="283"/>
      <c r="HC99" s="283"/>
      <c r="HD99" s="283"/>
      <c r="HE99" s="283"/>
      <c r="HF99" s="284"/>
      <c r="HG99" s="290">
        <f t="shared" si="36"/>
        <v>0</v>
      </c>
      <c r="HH99" s="291"/>
      <c r="HI99" s="292"/>
      <c r="HJ99" s="35"/>
    </row>
    <row r="100" ht="15.0" customHeight="1">
      <c r="A100" s="54"/>
      <c r="B100" s="245"/>
      <c r="D100" s="293" t="s">
        <v>38</v>
      </c>
      <c r="E100" s="5"/>
      <c r="F100" s="5"/>
      <c r="G100" s="5"/>
      <c r="H100" s="5"/>
      <c r="I100" s="5"/>
      <c r="J100" s="5"/>
      <c r="K100" s="5"/>
      <c r="L100" s="5"/>
      <c r="M100" s="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  <c r="AE100" s="276"/>
      <c r="AF100" s="276"/>
      <c r="AG100" s="276"/>
      <c r="AH100" s="276"/>
      <c r="AI100" s="276"/>
      <c r="AJ100" s="276"/>
      <c r="AK100" s="276"/>
      <c r="AL100" s="276"/>
      <c r="AM100" s="276"/>
      <c r="AN100" s="276"/>
      <c r="AO100" s="276"/>
      <c r="AP100" s="276"/>
      <c r="AQ100" s="276"/>
      <c r="AR100" s="276"/>
      <c r="AT100" s="287">
        <f>SUM(AX100:CO100)</f>
        <v>1250</v>
      </c>
      <c r="AU100" s="9"/>
      <c r="AV100" s="9"/>
      <c r="AW100" s="10"/>
      <c r="AX100" s="294">
        <f>(AX95*AX99)/100</f>
        <v>0</v>
      </c>
      <c r="AY100" s="9"/>
      <c r="AZ100" s="10"/>
      <c r="BA100" s="294">
        <f>(BA95*BA99)/100</f>
        <v>1250</v>
      </c>
      <c r="BB100" s="9"/>
      <c r="BC100" s="10"/>
      <c r="BD100" s="294">
        <f>(BD95*BD99)/100</f>
        <v>0</v>
      </c>
      <c r="BE100" s="9"/>
      <c r="BF100" s="10"/>
      <c r="BG100" s="294">
        <f>(BG95*BG99)/100</f>
        <v>0</v>
      </c>
      <c r="BH100" s="9"/>
      <c r="BI100" s="10"/>
      <c r="BJ100" s="294">
        <f>(BJ95*BJ99)/100</f>
        <v>0</v>
      </c>
      <c r="BK100" s="9"/>
      <c r="BL100" s="10"/>
      <c r="BM100" s="294">
        <f>(BM95*BM99)/100</f>
        <v>0</v>
      </c>
      <c r="BN100" s="9"/>
      <c r="BO100" s="10"/>
      <c r="BP100" s="294">
        <f>(BP95*BP99)/100</f>
        <v>0</v>
      </c>
      <c r="BQ100" s="9"/>
      <c r="BR100" s="10"/>
      <c r="BS100" s="294">
        <f>(BS95*BS99)/100</f>
        <v>0</v>
      </c>
      <c r="BT100" s="9"/>
      <c r="BU100" s="10"/>
      <c r="BV100" s="294">
        <f>(BV95*BV99)/100</f>
        <v>0</v>
      </c>
      <c r="BW100" s="9"/>
      <c r="BX100" s="10"/>
      <c r="BY100" s="294">
        <f>(BY95*BY99)/100</f>
        <v>0</v>
      </c>
      <c r="BZ100" s="9"/>
      <c r="CA100" s="10"/>
      <c r="CB100" s="294">
        <f>(CB95*CB99)/100</f>
        <v>0</v>
      </c>
      <c r="CC100" s="9"/>
      <c r="CD100" s="10"/>
      <c r="CE100" s="294">
        <f>(CE95*CE99)/100</f>
        <v>0</v>
      </c>
      <c r="CF100" s="9"/>
      <c r="CG100" s="10"/>
      <c r="CH100" s="294">
        <f>(CH95*CH99)/100</f>
        <v>0</v>
      </c>
      <c r="CI100" s="9"/>
      <c r="CJ100" s="10"/>
      <c r="CK100" s="294">
        <f>(CK95*CK99)/100</f>
        <v>0</v>
      </c>
      <c r="CL100" s="9"/>
      <c r="CM100" s="10"/>
      <c r="CN100" s="294">
        <f>(CN95*CN99)/100</f>
        <v>0</v>
      </c>
      <c r="CO100" s="9"/>
      <c r="CP100" s="10"/>
      <c r="CQ100" s="220"/>
      <c r="CR100" s="249">
        <v>2500.0</v>
      </c>
      <c r="CS100" s="12"/>
      <c r="CT100" s="13"/>
      <c r="CU100" s="268" t="s">
        <v>95</v>
      </c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3"/>
      <c r="DH100" s="253">
        <f>SUM(O103:AR103)</f>
        <v>15000</v>
      </c>
      <c r="DI100" s="12"/>
      <c r="DJ100" s="13"/>
      <c r="DK100" s="295">
        <v>25000.0</v>
      </c>
      <c r="DL100" s="12"/>
      <c r="DM100" s="13"/>
      <c r="DN100" s="253">
        <f t="shared" si="33"/>
        <v>1500</v>
      </c>
      <c r="DO100" s="12"/>
      <c r="DP100" s="13"/>
      <c r="DQ100" s="296">
        <f t="shared" ref="DQ100:DQ106" si="37">IF(DH100&lt;DK100,DH100,IF(DH100&gt;=DK100,DK100))</f>
        <v>15000</v>
      </c>
      <c r="DR100" s="12"/>
      <c r="DS100" s="13"/>
      <c r="DT100" s="254">
        <f>DQ100*100/DK100</f>
        <v>60</v>
      </c>
      <c r="DU100" s="12"/>
      <c r="DV100" s="13"/>
      <c r="DW100" s="255" t="str">
        <f>(DK100-DH100)/'График'!AK66</f>
        <v>#DIV/0!</v>
      </c>
      <c r="DX100" s="12"/>
      <c r="DY100" s="13"/>
      <c r="EA100" s="256" t="s">
        <v>96</v>
      </c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6"/>
      <c r="EO100" s="257" t="str">
        <f>DH97*100/DH96</f>
        <v>#DIV/0!</v>
      </c>
      <c r="EP100" s="16"/>
      <c r="EQ100" s="257" t="str">
        <f>((DH97*100/DH96)+EO82)/2</f>
        <v>#DIV/0!</v>
      </c>
      <c r="ER100" s="16"/>
      <c r="ET100" s="258" t="s">
        <v>97</v>
      </c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9"/>
      <c r="FJ100" s="259">
        <f>if(FJ96&gt;79,DH100*15%,if(FJ96&lt;80,DH100*5%))</f>
        <v>750</v>
      </c>
      <c r="FK100" s="18"/>
      <c r="FL100" s="19"/>
      <c r="FN100" s="280" t="s">
        <v>55</v>
      </c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2"/>
      <c r="FZ100" s="281">
        <v>800.0</v>
      </c>
      <c r="GA100" s="22"/>
      <c r="GB100" s="282"/>
      <c r="GC100" s="282"/>
      <c r="GD100" s="283"/>
      <c r="GE100" s="282"/>
      <c r="GF100" s="282"/>
      <c r="GG100" s="282"/>
      <c r="GH100" s="282"/>
      <c r="GI100" s="282"/>
      <c r="GJ100" s="282"/>
      <c r="GK100" s="283"/>
      <c r="GL100" s="283"/>
      <c r="GM100" s="282"/>
      <c r="GN100" s="283"/>
      <c r="GO100" s="283"/>
      <c r="GP100" s="283"/>
      <c r="GQ100" s="283"/>
      <c r="GR100" s="283"/>
      <c r="GS100" s="283"/>
      <c r="GT100" s="283"/>
      <c r="GU100" s="283"/>
      <c r="GV100" s="283"/>
      <c r="GW100" s="283"/>
      <c r="GX100" s="283"/>
      <c r="GY100" s="283"/>
      <c r="GZ100" s="283"/>
      <c r="HA100" s="283"/>
      <c r="HB100" s="283"/>
      <c r="HC100" s="283"/>
      <c r="HD100" s="283"/>
      <c r="HE100" s="283"/>
      <c r="HF100" s="284"/>
      <c r="HG100" s="290">
        <f t="shared" si="36"/>
        <v>0</v>
      </c>
      <c r="HH100" s="291"/>
      <c r="HI100" s="292"/>
      <c r="HJ100" s="35"/>
    </row>
    <row r="101" ht="15.0" customHeight="1">
      <c r="A101" s="54"/>
      <c r="B101" s="245"/>
      <c r="D101" s="275" t="s">
        <v>43</v>
      </c>
      <c r="E101" s="5"/>
      <c r="F101" s="5"/>
      <c r="G101" s="5"/>
      <c r="H101" s="5"/>
      <c r="I101" s="5"/>
      <c r="J101" s="5"/>
      <c r="K101" s="5"/>
      <c r="L101" s="5"/>
      <c r="M101" s="6"/>
      <c r="N101" s="276"/>
      <c r="O101" s="276"/>
      <c r="P101" s="276"/>
      <c r="Q101" s="276">
        <v>1.0</v>
      </c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  <c r="AE101" s="276"/>
      <c r="AF101" s="276"/>
      <c r="AG101" s="276"/>
      <c r="AH101" s="276"/>
      <c r="AI101" s="276"/>
      <c r="AJ101" s="276"/>
      <c r="AK101" s="276"/>
      <c r="AL101" s="276"/>
      <c r="AM101" s="276"/>
      <c r="AN101" s="276"/>
      <c r="AO101" s="276"/>
      <c r="AP101" s="276"/>
      <c r="AQ101" s="276"/>
      <c r="AR101" s="276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  <c r="BD101" s="297"/>
      <c r="BE101" s="297"/>
      <c r="BF101" s="297"/>
      <c r="BG101" s="297"/>
      <c r="BH101" s="297"/>
      <c r="BI101" s="297"/>
      <c r="BJ101" s="297"/>
      <c r="BK101" s="297"/>
      <c r="BL101" s="297"/>
      <c r="BM101" s="297"/>
      <c r="BN101" s="297"/>
      <c r="BO101" s="297"/>
      <c r="BP101" s="297"/>
      <c r="BQ101" s="297"/>
      <c r="BR101" s="297"/>
      <c r="BS101" s="297"/>
      <c r="BT101" s="297"/>
      <c r="BU101" s="297"/>
      <c r="BV101" s="297"/>
      <c r="BW101" s="297"/>
      <c r="BX101" s="297"/>
      <c r="BY101" s="297"/>
      <c r="BZ101" s="297"/>
      <c r="CA101" s="297"/>
      <c r="CB101" s="297"/>
      <c r="CC101" s="297"/>
      <c r="CD101" s="297"/>
      <c r="CE101" s="297"/>
      <c r="CF101" s="297"/>
      <c r="CG101" s="297"/>
      <c r="CH101" s="297"/>
      <c r="CI101" s="297"/>
      <c r="CJ101" s="297"/>
      <c r="CK101" s="297"/>
      <c r="CL101" s="297"/>
      <c r="CM101" s="297"/>
      <c r="CN101" s="297"/>
      <c r="CO101" s="297"/>
      <c r="CP101" s="297"/>
      <c r="CQ101" s="220"/>
      <c r="CR101" s="249">
        <v>10000.0</v>
      </c>
      <c r="CS101" s="12"/>
      <c r="CT101" s="13"/>
      <c r="CU101" s="298" t="s">
        <v>98</v>
      </c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23"/>
      <c r="DH101" s="299">
        <f>sum(DH100+'Александр'!BI100)</f>
        <v>15000</v>
      </c>
      <c r="DI101" s="24"/>
      <c r="DJ101" s="223"/>
      <c r="DK101" s="300">
        <v>70000.0</v>
      </c>
      <c r="DL101" s="12"/>
      <c r="DM101" s="13"/>
      <c r="DN101" s="253">
        <f t="shared" si="33"/>
        <v>2142.857143</v>
      </c>
      <c r="DO101" s="12"/>
      <c r="DP101" s="13"/>
      <c r="DQ101" s="296">
        <f t="shared" si="37"/>
        <v>15000</v>
      </c>
      <c r="DR101" s="12"/>
      <c r="DS101" s="13"/>
      <c r="DT101" s="301">
        <f t="shared" ref="DT101:DT106" si="38">DH101*100/DK101</f>
        <v>21.42857143</v>
      </c>
      <c r="DU101" s="12"/>
      <c r="DV101" s="13"/>
      <c r="DW101" s="302" t="str">
        <f>(DK101-DH101)/'График'!AK66</f>
        <v>#DIV/0!</v>
      </c>
      <c r="DX101" s="12"/>
      <c r="DY101" s="13"/>
      <c r="DZ101" s="59"/>
      <c r="EA101" s="256" t="s">
        <v>58</v>
      </c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6"/>
      <c r="EO101" s="257" t="str">
        <f>DH98*100/DH96</f>
        <v>#DIV/0!</v>
      </c>
      <c r="EP101" s="16"/>
      <c r="EQ101" s="257" t="str">
        <f>((DH98*100/DH96)+EO83)/2</f>
        <v>#DIV/0!</v>
      </c>
      <c r="ER101" s="16"/>
      <c r="ES101" s="59"/>
      <c r="ET101" s="258" t="s">
        <v>99</v>
      </c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9"/>
      <c r="FJ101" s="259">
        <f>if(FJ96&gt;79,DH100*15%,if(FJ96&lt;80,DH100*5%))+FJ95+FJ97+FJ98+FJ99</f>
        <v>8250</v>
      </c>
      <c r="FK101" s="18"/>
      <c r="FL101" s="19"/>
      <c r="FN101" s="280" t="s">
        <v>60</v>
      </c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2"/>
      <c r="FZ101" s="281">
        <v>1500.0</v>
      </c>
      <c r="GA101" s="22"/>
      <c r="GB101" s="283"/>
      <c r="GC101" s="283"/>
      <c r="GD101" s="283"/>
      <c r="GE101" s="283"/>
      <c r="GF101" s="283"/>
      <c r="GG101" s="283"/>
      <c r="GH101" s="283"/>
      <c r="GI101" s="282"/>
      <c r="GJ101" s="282"/>
      <c r="GK101" s="283"/>
      <c r="GL101" s="282"/>
      <c r="GM101" s="282"/>
      <c r="GN101" s="282"/>
      <c r="GO101" s="283"/>
      <c r="GP101" s="283"/>
      <c r="GQ101" s="283"/>
      <c r="GR101" s="283"/>
      <c r="GS101" s="283"/>
      <c r="GT101" s="283"/>
      <c r="GU101" s="283"/>
      <c r="GV101" s="283"/>
      <c r="GW101" s="283"/>
      <c r="GX101" s="283"/>
      <c r="GY101" s="283"/>
      <c r="GZ101" s="283"/>
      <c r="HA101" s="282"/>
      <c r="HB101" s="283"/>
      <c r="HC101" s="283"/>
      <c r="HD101" s="283"/>
      <c r="HE101" s="283"/>
      <c r="HF101" s="284"/>
      <c r="HG101" s="290">
        <f t="shared" si="36"/>
        <v>0</v>
      </c>
      <c r="HH101" s="291"/>
      <c r="HI101" s="292"/>
      <c r="HJ101" s="35"/>
    </row>
    <row r="102" ht="15.0" customHeight="1">
      <c r="A102" s="54"/>
      <c r="B102" s="245"/>
      <c r="D102" s="293" t="s">
        <v>48</v>
      </c>
      <c r="E102" s="5"/>
      <c r="F102" s="5"/>
      <c r="G102" s="5"/>
      <c r="H102" s="5"/>
      <c r="I102" s="5"/>
      <c r="J102" s="5"/>
      <c r="K102" s="5"/>
      <c r="L102" s="5"/>
      <c r="M102" s="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276"/>
      <c r="AK102" s="276"/>
      <c r="AL102" s="276"/>
      <c r="AM102" s="276"/>
      <c r="AN102" s="276"/>
      <c r="AO102" s="276"/>
      <c r="AP102" s="276"/>
      <c r="AQ102" s="276"/>
      <c r="AR102" s="276"/>
      <c r="AT102" s="303" t="s">
        <v>56</v>
      </c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10"/>
      <c r="CQ102" s="220"/>
      <c r="CR102" s="249"/>
      <c r="CS102" s="12"/>
      <c r="CT102" s="13"/>
      <c r="CU102" s="298" t="s">
        <v>100</v>
      </c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23"/>
      <c r="DH102" s="299">
        <f>sum(AX105:CP105)</f>
        <v>0</v>
      </c>
      <c r="DI102" s="24"/>
      <c r="DJ102" s="223"/>
      <c r="DK102" s="300">
        <v>0.0</v>
      </c>
      <c r="DL102" s="12"/>
      <c r="DM102" s="13"/>
      <c r="DN102" s="253" t="str">
        <f t="shared" si="33"/>
        <v>#DIV/0!</v>
      </c>
      <c r="DO102" s="12"/>
      <c r="DP102" s="13"/>
      <c r="DQ102" s="296">
        <f t="shared" si="37"/>
        <v>0</v>
      </c>
      <c r="DR102" s="12"/>
      <c r="DS102" s="13"/>
      <c r="DT102" s="301" t="str">
        <f t="shared" si="38"/>
        <v>#DIV/0!</v>
      </c>
      <c r="DU102" s="12"/>
      <c r="DV102" s="13"/>
      <c r="DW102" s="255" t="str">
        <f>(DK102-DH102)/'График'!AK66</f>
        <v>#DIV/0!</v>
      </c>
      <c r="DX102" s="12"/>
      <c r="DY102" s="13"/>
      <c r="DZ102" s="304"/>
      <c r="EA102" s="256" t="s">
        <v>71</v>
      </c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6"/>
      <c r="EO102" s="257" t="str">
        <f>DH98*100/DH97</f>
        <v>#DIV/0!</v>
      </c>
      <c r="EP102" s="16"/>
      <c r="EQ102" s="257" t="str">
        <f>((DH98*100/DH97)+EO84)/2</f>
        <v>#DIV/0!</v>
      </c>
      <c r="ER102" s="16"/>
      <c r="ES102" s="220"/>
      <c r="ET102" s="305" t="s">
        <v>24</v>
      </c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9"/>
      <c r="FJ102" s="306">
        <f>if(DH101&gt;=DK101,FJ101+CR101,if(DH101&lt;DK101,FJ101))-HG103</f>
        <v>8250</v>
      </c>
      <c r="FK102" s="18"/>
      <c r="FL102" s="19"/>
      <c r="FM102" s="59"/>
      <c r="FN102" s="307" t="s">
        <v>72</v>
      </c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2"/>
      <c r="FZ102" s="281">
        <v>1000.0</v>
      </c>
      <c r="GA102" s="22"/>
      <c r="GB102" s="308"/>
      <c r="GC102" s="309"/>
      <c r="GD102" s="308"/>
      <c r="GE102" s="308"/>
      <c r="GF102" s="308"/>
      <c r="GG102" s="308"/>
      <c r="GH102" s="309"/>
      <c r="GI102" s="308"/>
      <c r="GJ102" s="308"/>
      <c r="GK102" s="308"/>
      <c r="GL102" s="309"/>
      <c r="GM102" s="308"/>
      <c r="GN102" s="309"/>
      <c r="GO102" s="308"/>
      <c r="GP102" s="308"/>
      <c r="GQ102" s="308"/>
      <c r="GR102" s="308"/>
      <c r="GS102" s="308"/>
      <c r="GT102" s="308"/>
      <c r="GU102" s="308"/>
      <c r="GV102" s="308"/>
      <c r="GW102" s="308"/>
      <c r="GX102" s="308"/>
      <c r="GY102" s="308"/>
      <c r="GZ102" s="308"/>
      <c r="HA102" s="308"/>
      <c r="HB102" s="308"/>
      <c r="HC102" s="308"/>
      <c r="HD102" s="308"/>
      <c r="HE102" s="310"/>
      <c r="HF102" s="311"/>
      <c r="HG102" s="290">
        <f t="shared" si="36"/>
        <v>0</v>
      </c>
      <c r="HH102" s="291"/>
      <c r="HI102" s="292"/>
      <c r="HJ102" s="35"/>
    </row>
    <row r="103" ht="15.0" customHeight="1">
      <c r="A103" s="54"/>
      <c r="B103" s="245"/>
      <c r="D103" s="312" t="s">
        <v>52</v>
      </c>
      <c r="E103" s="27"/>
      <c r="F103" s="27"/>
      <c r="G103" s="27"/>
      <c r="H103" s="27"/>
      <c r="I103" s="27"/>
      <c r="J103" s="27"/>
      <c r="K103" s="27"/>
      <c r="L103" s="27"/>
      <c r="M103" s="28"/>
      <c r="N103" s="313"/>
      <c r="O103" s="313"/>
      <c r="P103" s="313"/>
      <c r="Q103" s="313">
        <v>15000.0</v>
      </c>
      <c r="R103" s="313"/>
      <c r="S103" s="313"/>
      <c r="T103" s="313"/>
      <c r="U103" s="313"/>
      <c r="V103" s="313"/>
      <c r="W103" s="313"/>
      <c r="X103" s="313"/>
      <c r="Y103" s="313"/>
      <c r="Z103" s="313"/>
      <c r="AA103" s="313"/>
      <c r="AB103" s="313"/>
      <c r="AC103" s="313"/>
      <c r="AD103" s="313"/>
      <c r="AE103" s="313"/>
      <c r="AF103" s="313"/>
      <c r="AG103" s="313"/>
      <c r="AH103" s="313"/>
      <c r="AI103" s="313"/>
      <c r="AJ103" s="313"/>
      <c r="AK103" s="313"/>
      <c r="AL103" s="313"/>
      <c r="AM103" s="313"/>
      <c r="AN103" s="313"/>
      <c r="AO103" s="313"/>
      <c r="AP103" s="313"/>
      <c r="AQ103" s="313"/>
      <c r="AR103" s="313"/>
      <c r="AT103" s="227" t="s">
        <v>9</v>
      </c>
      <c r="AU103" s="228"/>
      <c r="AV103" s="228"/>
      <c r="AW103" s="229"/>
      <c r="AX103" s="314"/>
      <c r="AY103" s="228"/>
      <c r="AZ103" s="229"/>
      <c r="BA103" s="314"/>
      <c r="BB103" s="228"/>
      <c r="BC103" s="229"/>
      <c r="BD103" s="314"/>
      <c r="BE103" s="228"/>
      <c r="BF103" s="229"/>
      <c r="BG103" s="314"/>
      <c r="BH103" s="228"/>
      <c r="BI103" s="229"/>
      <c r="BJ103" s="314" t="s">
        <v>69</v>
      </c>
      <c r="BK103" s="228"/>
      <c r="BL103" s="229"/>
      <c r="BM103" s="314" t="s">
        <v>69</v>
      </c>
      <c r="BN103" s="228"/>
      <c r="BO103" s="229"/>
      <c r="BP103" s="314" t="s">
        <v>69</v>
      </c>
      <c r="BQ103" s="228"/>
      <c r="BR103" s="229"/>
      <c r="BS103" s="314" t="s">
        <v>69</v>
      </c>
      <c r="BT103" s="228"/>
      <c r="BU103" s="229"/>
      <c r="BV103" s="314" t="s">
        <v>69</v>
      </c>
      <c r="BW103" s="228"/>
      <c r="BX103" s="229"/>
      <c r="BY103" s="314" t="s">
        <v>69</v>
      </c>
      <c r="BZ103" s="228"/>
      <c r="CA103" s="229"/>
      <c r="CB103" s="314" t="s">
        <v>69</v>
      </c>
      <c r="CC103" s="228"/>
      <c r="CD103" s="229"/>
      <c r="CE103" s="314" t="s">
        <v>69</v>
      </c>
      <c r="CF103" s="228"/>
      <c r="CG103" s="229"/>
      <c r="CH103" s="314" t="s">
        <v>69</v>
      </c>
      <c r="CI103" s="228"/>
      <c r="CJ103" s="229"/>
      <c r="CK103" s="314" t="s">
        <v>69</v>
      </c>
      <c r="CL103" s="228"/>
      <c r="CM103" s="229"/>
      <c r="CN103" s="314" t="s">
        <v>69</v>
      </c>
      <c r="CO103" s="228"/>
      <c r="CP103" s="229"/>
      <c r="CQ103" s="220"/>
      <c r="CR103" s="249"/>
      <c r="CS103" s="12"/>
      <c r="CT103" s="13"/>
      <c r="CU103" s="298" t="s">
        <v>105</v>
      </c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23"/>
      <c r="DH103" s="299">
        <f>sum(DH100+DH102)</f>
        <v>15000</v>
      </c>
      <c r="DI103" s="24"/>
      <c r="DJ103" s="223"/>
      <c r="DK103" s="300">
        <v>0.0</v>
      </c>
      <c r="DL103" s="12"/>
      <c r="DM103" s="13"/>
      <c r="DN103" s="253" t="str">
        <f t="shared" si="33"/>
        <v>#DIV/0!</v>
      </c>
      <c r="DO103" s="12"/>
      <c r="DP103" s="13"/>
      <c r="DQ103" s="296">
        <f t="shared" si="37"/>
        <v>0</v>
      </c>
      <c r="DR103" s="12"/>
      <c r="DS103" s="13"/>
      <c r="DT103" s="301" t="str">
        <f t="shared" si="38"/>
        <v>#DIV/0!</v>
      </c>
      <c r="DU103" s="12"/>
      <c r="DV103" s="13"/>
      <c r="DW103" s="255" t="str">
        <f>(DK103-DH103)/'График'!AK66</f>
        <v>#DIV/0!</v>
      </c>
      <c r="DX103" s="12"/>
      <c r="DY103" s="13"/>
      <c r="DZ103" s="315"/>
      <c r="EA103" s="316"/>
      <c r="EB103" s="316"/>
      <c r="EC103" s="316"/>
      <c r="ED103" s="316"/>
      <c r="EE103" s="316"/>
      <c r="EF103" s="316"/>
      <c r="EG103" s="316"/>
      <c r="EH103" s="316"/>
      <c r="EI103" s="316"/>
      <c r="EJ103" s="316"/>
      <c r="EK103" s="316"/>
      <c r="EL103" s="316"/>
      <c r="EM103" s="316"/>
      <c r="EN103" s="316"/>
      <c r="EO103" s="316"/>
      <c r="EP103" s="316"/>
      <c r="EQ103" s="316"/>
      <c r="ER103" s="316"/>
      <c r="ES103" s="317"/>
      <c r="ET103" s="318"/>
      <c r="EU103" s="318"/>
      <c r="EV103" s="318"/>
      <c r="EW103" s="318"/>
      <c r="EX103" s="318"/>
      <c r="EY103" s="318"/>
      <c r="EZ103" s="318"/>
      <c r="FA103" s="318"/>
      <c r="FB103" s="318"/>
      <c r="FC103" s="318"/>
      <c r="FD103" s="318"/>
      <c r="FE103" s="318"/>
      <c r="FF103" s="318"/>
      <c r="FG103" s="318"/>
      <c r="FH103" s="319"/>
      <c r="FI103" s="320"/>
      <c r="FJ103" s="321"/>
      <c r="FK103" s="322"/>
      <c r="FL103" s="320"/>
      <c r="FM103" s="317"/>
      <c r="FN103" s="316"/>
      <c r="FO103" s="316"/>
      <c r="FP103" s="316"/>
      <c r="FQ103" s="316"/>
      <c r="FR103" s="316"/>
      <c r="FS103" s="316"/>
      <c r="FT103" s="316"/>
      <c r="FU103" s="316"/>
      <c r="FV103" s="316"/>
      <c r="FW103" s="316"/>
      <c r="FX103" s="316"/>
      <c r="FY103" s="316"/>
      <c r="FZ103" s="316"/>
      <c r="GA103" s="316"/>
      <c r="GB103" s="316"/>
      <c r="GC103" s="316"/>
      <c r="GD103" s="316"/>
      <c r="GE103" s="316"/>
      <c r="GF103" s="316"/>
      <c r="GG103" s="316"/>
      <c r="GH103" s="316"/>
      <c r="GI103" s="316"/>
      <c r="GJ103" s="316"/>
      <c r="GK103" s="316"/>
      <c r="GL103" s="316"/>
      <c r="GM103" s="316"/>
      <c r="GN103" s="316"/>
      <c r="GO103" s="316"/>
      <c r="GP103" s="316"/>
      <c r="GQ103" s="316"/>
      <c r="GR103" s="316"/>
      <c r="GS103" s="316"/>
      <c r="GT103" s="316"/>
      <c r="GU103" s="316"/>
      <c r="GV103" s="316"/>
      <c r="GW103" s="316"/>
      <c r="GX103" s="316"/>
      <c r="GY103" s="316"/>
      <c r="GZ103" s="316"/>
      <c r="HA103" s="316"/>
      <c r="HB103" s="316"/>
      <c r="HC103" s="316"/>
      <c r="HD103" s="323"/>
      <c r="HE103" s="324" t="s">
        <v>24</v>
      </c>
      <c r="HF103" s="22"/>
      <c r="HG103" s="325">
        <f>sum(HG97:HG102)</f>
        <v>0</v>
      </c>
      <c r="HH103" s="326"/>
      <c r="HI103" s="327"/>
      <c r="HJ103" s="60"/>
    </row>
    <row r="104" ht="15.0" customHeight="1">
      <c r="A104" s="54"/>
      <c r="B104" s="245"/>
      <c r="D104" s="55"/>
      <c r="M104" s="33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T104" s="246"/>
      <c r="AU104" s="247"/>
      <c r="AV104" s="247"/>
      <c r="AW104" s="248"/>
      <c r="AX104" s="246"/>
      <c r="AY104" s="247"/>
      <c r="AZ104" s="248"/>
      <c r="BA104" s="246"/>
      <c r="BB104" s="247"/>
      <c r="BC104" s="248"/>
      <c r="BD104" s="246"/>
      <c r="BE104" s="247"/>
      <c r="BF104" s="248"/>
      <c r="BG104" s="246"/>
      <c r="BH104" s="247"/>
      <c r="BI104" s="248"/>
      <c r="BJ104" s="246"/>
      <c r="BK104" s="247"/>
      <c r="BL104" s="248"/>
      <c r="BM104" s="246"/>
      <c r="BN104" s="247"/>
      <c r="BO104" s="248"/>
      <c r="BP104" s="246"/>
      <c r="BQ104" s="247"/>
      <c r="BR104" s="248"/>
      <c r="BS104" s="246"/>
      <c r="BT104" s="247"/>
      <c r="BU104" s="248"/>
      <c r="BV104" s="246"/>
      <c r="BW104" s="247"/>
      <c r="BX104" s="248"/>
      <c r="BY104" s="246"/>
      <c r="BZ104" s="247"/>
      <c r="CA104" s="248"/>
      <c r="CB104" s="246"/>
      <c r="CC104" s="247"/>
      <c r="CD104" s="248"/>
      <c r="CE104" s="246"/>
      <c r="CF104" s="247"/>
      <c r="CG104" s="248"/>
      <c r="CH104" s="246"/>
      <c r="CI104" s="247"/>
      <c r="CJ104" s="248"/>
      <c r="CK104" s="246"/>
      <c r="CL104" s="247"/>
      <c r="CM104" s="248"/>
      <c r="CN104" s="246"/>
      <c r="CO104" s="247"/>
      <c r="CP104" s="248"/>
      <c r="CQ104" s="220"/>
      <c r="CR104" s="249"/>
      <c r="CS104" s="12"/>
      <c r="CT104" s="13"/>
      <c r="CU104" s="328" t="s">
        <v>73</v>
      </c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23"/>
      <c r="DH104" s="299">
        <f>DH100/DH98</f>
        <v>15000</v>
      </c>
      <c r="DI104" s="24"/>
      <c r="DJ104" s="223"/>
      <c r="DK104" s="300">
        <v>25000.0</v>
      </c>
      <c r="DL104" s="12"/>
      <c r="DM104" s="13"/>
      <c r="DN104" s="253">
        <f t="shared" si="33"/>
        <v>0</v>
      </c>
      <c r="DO104" s="12"/>
      <c r="DP104" s="13"/>
      <c r="DQ104" s="296">
        <f t="shared" si="37"/>
        <v>15000</v>
      </c>
      <c r="DR104" s="12"/>
      <c r="DS104" s="13"/>
      <c r="DT104" s="301">
        <f t="shared" si="38"/>
        <v>60</v>
      </c>
      <c r="DU104" s="12"/>
      <c r="DV104" s="13"/>
      <c r="DW104" s="255" t="str">
        <f>(DK104-DH104)/'График'!AK66</f>
        <v>#DIV/0!</v>
      </c>
      <c r="DX104" s="12"/>
      <c r="DY104" s="13"/>
      <c r="DZ104" s="315"/>
      <c r="EA104" s="317"/>
      <c r="EB104" s="317"/>
      <c r="EC104" s="317"/>
      <c r="ED104" s="317"/>
      <c r="EE104" s="317"/>
      <c r="EF104" s="317"/>
      <c r="EG104" s="317"/>
      <c r="EH104" s="317"/>
      <c r="EI104" s="317"/>
      <c r="EJ104" s="317"/>
      <c r="EK104" s="317"/>
      <c r="EL104" s="317"/>
      <c r="EM104" s="317"/>
      <c r="EN104" s="317"/>
      <c r="EO104" s="317"/>
      <c r="EP104" s="317"/>
      <c r="EQ104" s="317"/>
      <c r="ER104" s="317"/>
      <c r="ES104" s="317"/>
      <c r="ET104" s="317"/>
      <c r="EU104" s="317"/>
      <c r="EV104" s="317"/>
      <c r="EW104" s="317"/>
      <c r="EX104" s="317"/>
      <c r="EY104" s="317"/>
      <c r="EZ104" s="317"/>
      <c r="FA104" s="317"/>
      <c r="FB104" s="317"/>
      <c r="FC104" s="317"/>
      <c r="FD104" s="317"/>
      <c r="FE104" s="317"/>
      <c r="FF104" s="317"/>
      <c r="FG104" s="317"/>
      <c r="FH104" s="317"/>
      <c r="FI104" s="317"/>
      <c r="FJ104" s="317"/>
      <c r="FK104" s="317"/>
      <c r="FL104" s="317"/>
      <c r="FM104" s="317"/>
      <c r="FN104" s="317"/>
      <c r="FO104" s="317"/>
      <c r="FP104" s="317"/>
      <c r="FQ104" s="317"/>
      <c r="FR104" s="317"/>
      <c r="FS104" s="317"/>
      <c r="FT104" s="317"/>
      <c r="FU104" s="317"/>
      <c r="FV104" s="317"/>
      <c r="FW104" s="317"/>
      <c r="FX104" s="317"/>
      <c r="FY104" s="317"/>
      <c r="FZ104" s="317"/>
      <c r="GA104" s="317"/>
      <c r="GB104" s="317"/>
      <c r="GC104" s="317"/>
      <c r="GD104" s="317"/>
      <c r="GE104" s="317"/>
      <c r="GF104" s="317"/>
      <c r="GG104" s="317"/>
      <c r="GH104" s="317"/>
      <c r="GI104" s="317"/>
      <c r="GJ104" s="317"/>
      <c r="GK104" s="317"/>
      <c r="GL104" s="317"/>
      <c r="GM104" s="317"/>
      <c r="GN104" s="317"/>
      <c r="GO104" s="317"/>
      <c r="GP104" s="317"/>
      <c r="GQ104" s="317"/>
      <c r="GR104" s="317"/>
      <c r="GS104" s="317"/>
      <c r="GT104" s="317"/>
      <c r="GU104" s="317"/>
      <c r="GV104" s="317"/>
      <c r="GW104" s="317"/>
      <c r="GX104" s="317"/>
      <c r="GY104" s="317"/>
      <c r="GZ104" s="317"/>
      <c r="HA104" s="317"/>
      <c r="HB104" s="317"/>
      <c r="HC104" s="317"/>
      <c r="HD104" s="317"/>
      <c r="HE104" s="316"/>
      <c r="HF104" s="316"/>
      <c r="HG104" s="316"/>
      <c r="HH104" s="316"/>
      <c r="HI104" s="316"/>
      <c r="HJ104" s="317"/>
    </row>
    <row r="105" ht="15.0" customHeight="1">
      <c r="A105" s="54"/>
      <c r="B105" s="245"/>
      <c r="D105" s="55"/>
      <c r="M105" s="33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T105" s="263" t="s">
        <v>21</v>
      </c>
      <c r="AU105" s="9"/>
      <c r="AV105" s="9"/>
      <c r="AW105" s="10"/>
      <c r="AX105" s="329"/>
      <c r="AY105" s="9"/>
      <c r="AZ105" s="10"/>
      <c r="BA105" s="329"/>
      <c r="BB105" s="9"/>
      <c r="BC105" s="10"/>
      <c r="BD105" s="329"/>
      <c r="BE105" s="9"/>
      <c r="BF105" s="10"/>
      <c r="BG105" s="329"/>
      <c r="BH105" s="9"/>
      <c r="BI105" s="10"/>
      <c r="BJ105" s="329"/>
      <c r="BK105" s="9"/>
      <c r="BL105" s="10"/>
      <c r="BM105" s="329"/>
      <c r="BN105" s="9"/>
      <c r="BO105" s="10"/>
      <c r="BP105" s="329"/>
      <c r="BQ105" s="9"/>
      <c r="BR105" s="10"/>
      <c r="BS105" s="329"/>
      <c r="BT105" s="9"/>
      <c r="BU105" s="10"/>
      <c r="BV105" s="329"/>
      <c r="BW105" s="9"/>
      <c r="BX105" s="10"/>
      <c r="BY105" s="329"/>
      <c r="BZ105" s="9"/>
      <c r="CA105" s="10"/>
      <c r="CB105" s="329"/>
      <c r="CC105" s="9"/>
      <c r="CD105" s="10"/>
      <c r="CE105" s="329"/>
      <c r="CF105" s="9"/>
      <c r="CG105" s="10"/>
      <c r="CH105" s="329"/>
      <c r="CI105" s="9"/>
      <c r="CJ105" s="10"/>
      <c r="CK105" s="329"/>
      <c r="CL105" s="9"/>
      <c r="CM105" s="10"/>
      <c r="CN105" s="329"/>
      <c r="CO105" s="9"/>
      <c r="CP105" s="10"/>
      <c r="CQ105" s="220"/>
      <c r="CR105" s="249"/>
      <c r="CS105" s="12"/>
      <c r="CT105" s="13"/>
      <c r="CU105" s="268" t="s">
        <v>84</v>
      </c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3"/>
      <c r="DH105" s="255" t="str">
        <f>(DH98/DH99)</f>
        <v>#DIV/0!</v>
      </c>
      <c r="DI105" s="12"/>
      <c r="DJ105" s="13"/>
      <c r="DK105" s="330">
        <v>0.0</v>
      </c>
      <c r="DL105" s="12"/>
      <c r="DM105" s="13"/>
      <c r="DN105" s="253" t="str">
        <f t="shared" si="33"/>
        <v>#DIV/0!</v>
      </c>
      <c r="DO105" s="12"/>
      <c r="DP105" s="13"/>
      <c r="DQ105" s="296" t="str">
        <f t="shared" si="37"/>
        <v>#DIV/0!</v>
      </c>
      <c r="DR105" s="12"/>
      <c r="DS105" s="13"/>
      <c r="DT105" s="301" t="str">
        <f t="shared" si="38"/>
        <v>#DIV/0!</v>
      </c>
      <c r="DU105" s="12"/>
      <c r="DV105" s="13"/>
      <c r="DW105" s="255" t="str">
        <f>(DK105-DH105)/'График'!AK66</f>
        <v>#DIV/0!</v>
      </c>
      <c r="DX105" s="12"/>
      <c r="DY105" s="13"/>
      <c r="DZ105" s="315"/>
      <c r="EA105" s="317"/>
      <c r="EB105" s="317"/>
      <c r="EC105" s="317"/>
      <c r="ED105" s="317"/>
      <c r="EE105" s="317"/>
      <c r="EF105" s="317"/>
      <c r="EG105" s="317"/>
      <c r="EH105" s="317"/>
      <c r="EI105" s="317"/>
      <c r="EJ105" s="317"/>
      <c r="EK105" s="317"/>
      <c r="EL105" s="317"/>
      <c r="EM105" s="317"/>
      <c r="EN105" s="317"/>
      <c r="EO105" s="317"/>
      <c r="EP105" s="317"/>
      <c r="EQ105" s="317"/>
      <c r="ER105" s="317"/>
      <c r="ES105" s="317"/>
      <c r="ET105" s="317"/>
      <c r="EU105" s="317"/>
      <c r="EV105" s="317"/>
      <c r="EW105" s="317"/>
      <c r="EX105" s="317"/>
      <c r="EY105" s="317"/>
      <c r="EZ105" s="317"/>
      <c r="FA105" s="317"/>
      <c r="FB105" s="317"/>
      <c r="FC105" s="317"/>
      <c r="FD105" s="317"/>
      <c r="FE105" s="317"/>
      <c r="FF105" s="317"/>
      <c r="FG105" s="317"/>
      <c r="FH105" s="317"/>
      <c r="FI105" s="317"/>
      <c r="FJ105" s="317"/>
      <c r="FK105" s="317"/>
      <c r="FL105" s="317"/>
      <c r="FM105" s="317"/>
      <c r="FN105" s="317"/>
      <c r="FO105" s="317"/>
      <c r="FP105" s="317"/>
      <c r="FQ105" s="317"/>
      <c r="FR105" s="317"/>
      <c r="FS105" s="317"/>
      <c r="FT105" s="317"/>
      <c r="FU105" s="317"/>
      <c r="FV105" s="317"/>
      <c r="FW105" s="317"/>
      <c r="FX105" s="317"/>
      <c r="FY105" s="317"/>
      <c r="FZ105" s="317"/>
      <c r="GA105" s="317"/>
      <c r="GB105" s="317"/>
      <c r="GC105" s="317"/>
      <c r="GD105" s="317"/>
      <c r="GE105" s="317"/>
      <c r="GF105" s="317"/>
      <c r="GG105" s="317"/>
      <c r="GH105" s="317"/>
      <c r="GI105" s="317"/>
      <c r="GJ105" s="317"/>
      <c r="GK105" s="317"/>
      <c r="GL105" s="317"/>
      <c r="GM105" s="317"/>
      <c r="GN105" s="317"/>
      <c r="GO105" s="317"/>
      <c r="GP105" s="317"/>
      <c r="GQ105" s="317"/>
      <c r="GR105" s="317"/>
      <c r="GS105" s="317"/>
      <c r="GT105" s="317"/>
      <c r="GU105" s="317"/>
      <c r="GV105" s="317"/>
      <c r="GW105" s="317"/>
      <c r="GX105" s="317"/>
      <c r="GY105" s="317"/>
      <c r="GZ105" s="317"/>
      <c r="HA105" s="317"/>
      <c r="HB105" s="317"/>
      <c r="HC105" s="317"/>
      <c r="HD105" s="317"/>
      <c r="HE105" s="317"/>
      <c r="HF105" s="317"/>
      <c r="HG105" s="317"/>
      <c r="HH105" s="317"/>
      <c r="HI105" s="317"/>
      <c r="HJ105" s="317"/>
    </row>
    <row r="106" ht="15.0" customHeight="1">
      <c r="A106" s="162"/>
      <c r="B106" s="331"/>
      <c r="C106" s="59"/>
      <c r="D106" s="57"/>
      <c r="E106" s="39"/>
      <c r="F106" s="39"/>
      <c r="G106" s="39"/>
      <c r="H106" s="39"/>
      <c r="I106" s="39"/>
      <c r="J106" s="39"/>
      <c r="K106" s="39"/>
      <c r="L106" s="39"/>
      <c r="M106" s="40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59"/>
      <c r="AT106" s="332">
        <v>20.0</v>
      </c>
      <c r="AU106" s="9"/>
      <c r="AV106" s="10"/>
      <c r="AW106" s="333" t="s">
        <v>37</v>
      </c>
      <c r="AX106" s="334">
        <f>AX105*AT106/100</f>
        <v>0</v>
      </c>
      <c r="AY106" s="9"/>
      <c r="AZ106" s="10"/>
      <c r="BA106" s="334">
        <f>BA105*AT106/100</f>
        <v>0</v>
      </c>
      <c r="BB106" s="9"/>
      <c r="BC106" s="10"/>
      <c r="BD106" s="334">
        <f>BD105*AT106/100</f>
        <v>0</v>
      </c>
      <c r="BE106" s="9"/>
      <c r="BF106" s="10"/>
      <c r="BG106" s="334">
        <f>BG105*AT106/100</f>
        <v>0</v>
      </c>
      <c r="BH106" s="9"/>
      <c r="BI106" s="10"/>
      <c r="BJ106" s="334">
        <f>BJ105*AT106/100</f>
        <v>0</v>
      </c>
      <c r="BK106" s="9"/>
      <c r="BL106" s="10"/>
      <c r="BM106" s="334">
        <f>BM105*AT106/100</f>
        <v>0</v>
      </c>
      <c r="BN106" s="9"/>
      <c r="BO106" s="10"/>
      <c r="BP106" s="334">
        <f>BP105*AT106/100</f>
        <v>0</v>
      </c>
      <c r="BQ106" s="9"/>
      <c r="BR106" s="10"/>
      <c r="BS106" s="334">
        <f>BS105*AT106/100</f>
        <v>0</v>
      </c>
      <c r="BT106" s="9"/>
      <c r="BU106" s="10"/>
      <c r="BV106" s="334">
        <f>BV105*AT106/100</f>
        <v>0</v>
      </c>
      <c r="BW106" s="9"/>
      <c r="BX106" s="10"/>
      <c r="BY106" s="334">
        <f>BY105*HH105/100</f>
        <v>0</v>
      </c>
      <c r="BZ106" s="9"/>
      <c r="CA106" s="10"/>
      <c r="CB106" s="334">
        <f>CB105*AT106/100</f>
        <v>0</v>
      </c>
      <c r="CC106" s="9"/>
      <c r="CD106" s="10"/>
      <c r="CE106" s="334">
        <f>CE105*AT106/100</f>
        <v>0</v>
      </c>
      <c r="CF106" s="9"/>
      <c r="CG106" s="10"/>
      <c r="CH106" s="334">
        <f>CH105*AT106/100</f>
        <v>0</v>
      </c>
      <c r="CI106" s="9"/>
      <c r="CJ106" s="10"/>
      <c r="CK106" s="334">
        <f>CK105*AT106/100</f>
        <v>0</v>
      </c>
      <c r="CL106" s="9"/>
      <c r="CM106" s="10"/>
      <c r="CN106" s="334">
        <f>CN105*AT106/100</f>
        <v>0</v>
      </c>
      <c r="CO106" s="9"/>
      <c r="CP106" s="10"/>
      <c r="CQ106" s="335"/>
      <c r="CR106" s="249">
        <f>sum(CR94:CT100,CR102,CR103,CR104,CR105)</f>
        <v>15000</v>
      </c>
      <c r="CS106" s="12"/>
      <c r="CT106" s="13"/>
      <c r="CU106" s="268" t="s">
        <v>34</v>
      </c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3"/>
      <c r="DH106" s="336">
        <f>sum(DT97,DT98,DT100)/3</f>
        <v>53.33333333</v>
      </c>
      <c r="DI106" s="12"/>
      <c r="DJ106" s="13"/>
      <c r="DK106" s="330">
        <v>100.0</v>
      </c>
      <c r="DL106" s="12"/>
      <c r="DM106" s="13"/>
      <c r="DN106" s="253">
        <f>sum(DN97,DN98,DN100)</f>
        <v>4000</v>
      </c>
      <c r="DO106" s="12"/>
      <c r="DP106" s="13"/>
      <c r="DQ106" s="296">
        <f t="shared" si="37"/>
        <v>53.33333333</v>
      </c>
      <c r="DR106" s="12"/>
      <c r="DS106" s="13"/>
      <c r="DT106" s="301">
        <f t="shared" si="38"/>
        <v>53.33333333</v>
      </c>
      <c r="DU106" s="12"/>
      <c r="DV106" s="13"/>
      <c r="DW106" s="254" t="str">
        <f>(DK106-DH106)/'График'!AK66</f>
        <v>#DIV/0!</v>
      </c>
      <c r="DX106" s="12"/>
      <c r="DY106" s="13"/>
      <c r="DZ106" s="315"/>
      <c r="EA106" s="317"/>
      <c r="EB106" s="317"/>
      <c r="EC106" s="317"/>
      <c r="ED106" s="317"/>
      <c r="EE106" s="317"/>
      <c r="EF106" s="317"/>
      <c r="EG106" s="317"/>
      <c r="EH106" s="317"/>
      <c r="EI106" s="317"/>
      <c r="EJ106" s="317"/>
      <c r="EK106" s="317"/>
      <c r="EL106" s="317"/>
      <c r="EM106" s="317"/>
      <c r="EN106" s="317"/>
      <c r="EO106" s="317"/>
      <c r="EP106" s="317"/>
      <c r="EQ106" s="317"/>
      <c r="ER106" s="317"/>
      <c r="ES106" s="317"/>
      <c r="ET106" s="317"/>
      <c r="EU106" s="317"/>
      <c r="EV106" s="317"/>
      <c r="EW106" s="317"/>
      <c r="EX106" s="317"/>
      <c r="EY106" s="317"/>
      <c r="EZ106" s="317"/>
      <c r="FA106" s="317"/>
      <c r="FB106" s="317"/>
      <c r="FC106" s="317"/>
      <c r="FD106" s="317"/>
      <c r="FE106" s="317"/>
      <c r="FF106" s="317"/>
      <c r="FG106" s="317"/>
      <c r="FH106" s="317"/>
      <c r="FI106" s="317"/>
      <c r="FJ106" s="317"/>
      <c r="FK106" s="317"/>
      <c r="FL106" s="317"/>
      <c r="FM106" s="317"/>
      <c r="FN106" s="317"/>
      <c r="FO106" s="317"/>
      <c r="FP106" s="317"/>
      <c r="FQ106" s="317"/>
      <c r="FR106" s="317"/>
      <c r="FS106" s="317"/>
      <c r="FT106" s="317"/>
      <c r="FU106" s="317"/>
      <c r="FV106" s="317"/>
      <c r="FW106" s="317"/>
      <c r="FX106" s="317"/>
      <c r="FY106" s="317"/>
      <c r="FZ106" s="317"/>
      <c r="GA106" s="317"/>
      <c r="GB106" s="317"/>
      <c r="GC106" s="317"/>
      <c r="GD106" s="317"/>
      <c r="GE106" s="317"/>
      <c r="GF106" s="317"/>
      <c r="GG106" s="317"/>
      <c r="GH106" s="317"/>
      <c r="GI106" s="317"/>
      <c r="GJ106" s="317"/>
      <c r="GK106" s="317"/>
      <c r="GL106" s="317"/>
      <c r="GM106" s="317"/>
      <c r="GN106" s="317"/>
      <c r="GO106" s="317"/>
      <c r="GP106" s="317"/>
      <c r="GQ106" s="317"/>
      <c r="GR106" s="317"/>
      <c r="GS106" s="317"/>
      <c r="GT106" s="317"/>
      <c r="GU106" s="317"/>
      <c r="GV106" s="317"/>
      <c r="GW106" s="317"/>
      <c r="GX106" s="317"/>
      <c r="GY106" s="317"/>
      <c r="GZ106" s="317"/>
      <c r="HA106" s="317"/>
      <c r="HB106" s="317"/>
      <c r="HC106" s="317"/>
      <c r="HD106" s="317"/>
      <c r="HE106" s="317"/>
      <c r="HF106" s="317"/>
      <c r="HG106" s="317"/>
      <c r="HH106" s="317"/>
      <c r="HI106" s="317"/>
      <c r="HJ106" s="317"/>
    </row>
    <row r="107" ht="15.0" customHeight="1">
      <c r="A107" s="166"/>
      <c r="B107" s="13"/>
      <c r="C107" s="213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  <c r="AK107" s="337"/>
      <c r="AL107" s="337"/>
      <c r="AM107" s="337"/>
      <c r="AN107" s="337"/>
      <c r="AO107" s="337"/>
      <c r="AP107" s="337"/>
      <c r="AQ107" s="337"/>
      <c r="AR107" s="337"/>
      <c r="AS107" s="338"/>
      <c r="AT107" s="338"/>
      <c r="AU107" s="338"/>
      <c r="AV107" s="338"/>
      <c r="AW107" s="338"/>
      <c r="AX107" s="338"/>
      <c r="AY107" s="338"/>
      <c r="AZ107" s="338"/>
      <c r="BA107" s="338"/>
      <c r="BB107" s="338"/>
      <c r="BC107" s="338"/>
      <c r="BD107" s="338"/>
      <c r="BE107" s="338"/>
      <c r="BF107" s="338"/>
      <c r="BG107" s="338"/>
      <c r="BH107" s="338"/>
      <c r="BI107" s="338"/>
      <c r="BJ107" s="338"/>
      <c r="BK107" s="338"/>
      <c r="BL107" s="338"/>
      <c r="BM107" s="338"/>
      <c r="BN107" s="338"/>
      <c r="BO107" s="338"/>
      <c r="BP107" s="338"/>
      <c r="BQ107" s="338"/>
      <c r="BR107" s="338"/>
      <c r="BS107" s="338"/>
      <c r="BT107" s="338"/>
      <c r="BU107" s="338"/>
      <c r="BV107" s="338"/>
      <c r="BW107" s="338"/>
      <c r="BX107" s="338"/>
      <c r="BY107" s="338"/>
      <c r="BZ107" s="338"/>
      <c r="CA107" s="338"/>
      <c r="CB107" s="338"/>
      <c r="CC107" s="338"/>
      <c r="CD107" s="338"/>
      <c r="CE107" s="338"/>
      <c r="CF107" s="338"/>
      <c r="CG107" s="338"/>
      <c r="CH107" s="338"/>
      <c r="CI107" s="338"/>
      <c r="CJ107" s="338"/>
      <c r="CK107" s="338"/>
      <c r="CL107" s="338"/>
      <c r="CM107" s="338"/>
      <c r="CN107" s="338"/>
      <c r="CO107" s="338"/>
      <c r="CP107" s="338"/>
      <c r="CQ107" s="338"/>
      <c r="CR107" s="337"/>
      <c r="CS107" s="337"/>
      <c r="CT107" s="337"/>
      <c r="CU107" s="337"/>
      <c r="CV107" s="337"/>
      <c r="CW107" s="337"/>
      <c r="CX107" s="337"/>
      <c r="CY107" s="337"/>
      <c r="CZ107" s="337"/>
      <c r="DA107" s="337"/>
      <c r="DB107" s="337"/>
      <c r="DC107" s="337"/>
      <c r="DD107" s="337"/>
      <c r="DE107" s="337"/>
      <c r="DF107" s="337"/>
      <c r="DG107" s="337"/>
      <c r="DH107" s="337"/>
      <c r="DI107" s="337"/>
      <c r="DJ107" s="337"/>
      <c r="DK107" s="338"/>
      <c r="DL107" s="338"/>
      <c r="DM107" s="338"/>
      <c r="DN107" s="337"/>
      <c r="DO107" s="337"/>
      <c r="DP107" s="337"/>
      <c r="DQ107" s="337"/>
      <c r="DR107" s="337"/>
      <c r="DS107" s="337"/>
      <c r="DT107" s="337"/>
      <c r="DU107" s="337"/>
      <c r="DV107" s="337"/>
      <c r="DW107" s="337"/>
      <c r="DX107" s="337"/>
      <c r="DY107" s="337"/>
      <c r="DZ107" s="338"/>
      <c r="EA107" s="338"/>
      <c r="EB107" s="338"/>
      <c r="EC107" s="338"/>
      <c r="ED107" s="338"/>
      <c r="EE107" s="338"/>
      <c r="EF107" s="338"/>
      <c r="EG107" s="338"/>
      <c r="EH107" s="338"/>
      <c r="EI107" s="338"/>
      <c r="EJ107" s="338"/>
      <c r="EK107" s="338"/>
      <c r="EL107" s="338"/>
      <c r="EM107" s="338"/>
      <c r="EN107" s="338"/>
      <c r="EO107" s="338"/>
      <c r="EP107" s="338"/>
      <c r="EQ107" s="338"/>
      <c r="ER107" s="338"/>
      <c r="ES107" s="338"/>
      <c r="ET107" s="338"/>
      <c r="EU107" s="338"/>
      <c r="EV107" s="338"/>
      <c r="EW107" s="338"/>
      <c r="EX107" s="338"/>
      <c r="EY107" s="338"/>
      <c r="EZ107" s="338"/>
      <c r="FA107" s="338"/>
      <c r="FB107" s="338"/>
      <c r="FC107" s="338"/>
      <c r="FD107" s="338"/>
      <c r="FE107" s="338"/>
      <c r="FF107" s="338"/>
      <c r="FG107" s="338"/>
      <c r="FH107" s="338"/>
      <c r="FI107" s="338"/>
      <c r="FJ107" s="338"/>
      <c r="FK107" s="338"/>
      <c r="FL107" s="338"/>
      <c r="FM107" s="338"/>
      <c r="FN107" s="338"/>
      <c r="FO107" s="338"/>
      <c r="FP107" s="338"/>
      <c r="FQ107" s="338"/>
      <c r="FR107" s="338"/>
      <c r="FS107" s="338"/>
      <c r="FT107" s="338"/>
      <c r="FU107" s="338"/>
      <c r="FV107" s="338"/>
      <c r="FW107" s="338"/>
      <c r="FX107" s="338"/>
      <c r="FY107" s="338"/>
      <c r="FZ107" s="338"/>
      <c r="GA107" s="338"/>
      <c r="GB107" s="338"/>
      <c r="GC107" s="338"/>
      <c r="GD107" s="338"/>
      <c r="GE107" s="338"/>
      <c r="GF107" s="338"/>
      <c r="GG107" s="338"/>
      <c r="GH107" s="338"/>
      <c r="GI107" s="338"/>
      <c r="GJ107" s="338"/>
      <c r="GK107" s="338"/>
      <c r="GL107" s="338"/>
      <c r="GM107" s="338"/>
      <c r="GN107" s="338"/>
      <c r="GO107" s="338"/>
      <c r="GP107" s="338"/>
      <c r="GQ107" s="338"/>
      <c r="GR107" s="338"/>
      <c r="GS107" s="338"/>
      <c r="GT107" s="338"/>
      <c r="GU107" s="338"/>
      <c r="GV107" s="338"/>
      <c r="GW107" s="338"/>
      <c r="GX107" s="338"/>
      <c r="GY107" s="338"/>
      <c r="GZ107" s="338"/>
      <c r="HA107" s="338"/>
      <c r="HB107" s="338"/>
      <c r="HC107" s="338"/>
      <c r="HD107" s="338"/>
      <c r="HE107" s="338"/>
      <c r="HF107" s="338"/>
      <c r="HG107" s="338"/>
      <c r="HH107" s="338"/>
      <c r="HI107" s="338"/>
      <c r="HJ107" s="338"/>
    </row>
  </sheetData>
  <mergeCells count="2724">
    <mergeCell ref="ET41:FI41"/>
    <mergeCell ref="FJ41:FL41"/>
    <mergeCell ref="CU33:DG33"/>
    <mergeCell ref="CR38:DY38"/>
    <mergeCell ref="EA38:ER38"/>
    <mergeCell ref="ET38:FL38"/>
    <mergeCell ref="FN38:HI38"/>
    <mergeCell ref="GL39:GL42"/>
    <mergeCell ref="GM39:GM42"/>
    <mergeCell ref="FJ42:FL42"/>
    <mergeCell ref="GV39:GV42"/>
    <mergeCell ref="GW39:GW42"/>
    <mergeCell ref="GX39:GX42"/>
    <mergeCell ref="GY39:GY42"/>
    <mergeCell ref="GZ39:GZ42"/>
    <mergeCell ref="HA39:HA42"/>
    <mergeCell ref="HB39:HB42"/>
    <mergeCell ref="HC39:HC42"/>
    <mergeCell ref="HD39:HD42"/>
    <mergeCell ref="HE39:HE42"/>
    <mergeCell ref="HF39:HF42"/>
    <mergeCell ref="HG39:HI42"/>
    <mergeCell ref="ET40:FI40"/>
    <mergeCell ref="FJ40:FL40"/>
    <mergeCell ref="EQ42:ER42"/>
    <mergeCell ref="ET42:FI42"/>
    <mergeCell ref="DK42:DM42"/>
    <mergeCell ref="DN42:DP42"/>
    <mergeCell ref="DQ42:DS42"/>
    <mergeCell ref="DT42:DV42"/>
    <mergeCell ref="DW42:DY42"/>
    <mergeCell ref="EA42:EN42"/>
    <mergeCell ref="EO42:EP42"/>
    <mergeCell ref="CU27:DG27"/>
    <mergeCell ref="DH27:DJ27"/>
    <mergeCell ref="DK27:DM27"/>
    <mergeCell ref="DN27:DP27"/>
    <mergeCell ref="DQ27:DS27"/>
    <mergeCell ref="DT27:DV27"/>
    <mergeCell ref="DW27:DY27"/>
    <mergeCell ref="CU28:DG28"/>
    <mergeCell ref="DH28:DJ28"/>
    <mergeCell ref="DK28:DM28"/>
    <mergeCell ref="DN28:DP28"/>
    <mergeCell ref="DQ28:DS28"/>
    <mergeCell ref="DT28:DV28"/>
    <mergeCell ref="DW28:DY28"/>
    <mergeCell ref="GN39:GN42"/>
    <mergeCell ref="GO39:GO42"/>
    <mergeCell ref="GP39:GP42"/>
    <mergeCell ref="GQ39:GQ42"/>
    <mergeCell ref="GR39:GR42"/>
    <mergeCell ref="GS39:GS42"/>
    <mergeCell ref="GT39:GT42"/>
    <mergeCell ref="GU39:GU42"/>
    <mergeCell ref="CU30:DG30"/>
    <mergeCell ref="DH30:DJ30"/>
    <mergeCell ref="CU31:DG31"/>
    <mergeCell ref="DH31:DJ31"/>
    <mergeCell ref="CU32:DG32"/>
    <mergeCell ref="DH32:DJ32"/>
    <mergeCell ref="DH33:DJ33"/>
    <mergeCell ref="BG11:BI12"/>
    <mergeCell ref="BJ11:BL12"/>
    <mergeCell ref="BS11:BU12"/>
    <mergeCell ref="BV11:BX12"/>
    <mergeCell ref="BY11:CA12"/>
    <mergeCell ref="CB11:CD12"/>
    <mergeCell ref="CE11:CG12"/>
    <mergeCell ref="CR12:CT12"/>
    <mergeCell ref="CU12:DG12"/>
    <mergeCell ref="CH11:CJ12"/>
    <mergeCell ref="CK11:CM12"/>
    <mergeCell ref="CN11:CP12"/>
    <mergeCell ref="CR11:CT11"/>
    <mergeCell ref="CU11:DG11"/>
    <mergeCell ref="DH11:DJ11"/>
    <mergeCell ref="EA11:EN11"/>
    <mergeCell ref="DH12:DJ12"/>
    <mergeCell ref="AL12:AL15"/>
    <mergeCell ref="AM12:AM15"/>
    <mergeCell ref="AE12:AE15"/>
    <mergeCell ref="AF12:AF15"/>
    <mergeCell ref="AG12:AG15"/>
    <mergeCell ref="AH12:AH15"/>
    <mergeCell ref="AI12:AI15"/>
    <mergeCell ref="AJ12:AJ15"/>
    <mergeCell ref="AK12:AK15"/>
    <mergeCell ref="HE12:HF12"/>
    <mergeCell ref="HG12:HI12"/>
    <mergeCell ref="EO11:EP11"/>
    <mergeCell ref="EQ11:ER11"/>
    <mergeCell ref="FH11:FI11"/>
    <mergeCell ref="FJ11:FL11"/>
    <mergeCell ref="FN11:FY11"/>
    <mergeCell ref="FZ11:GA11"/>
    <mergeCell ref="HG11:HI11"/>
    <mergeCell ref="CR21:CT21"/>
    <mergeCell ref="CU21:DG21"/>
    <mergeCell ref="ET21:FI21"/>
    <mergeCell ref="FJ21:FL21"/>
    <mergeCell ref="AT19:CP19"/>
    <mergeCell ref="CR19:DY19"/>
    <mergeCell ref="EA19:ER19"/>
    <mergeCell ref="ET19:FL19"/>
    <mergeCell ref="FN19:HF19"/>
    <mergeCell ref="ET20:FI20"/>
    <mergeCell ref="FJ20:FL20"/>
    <mergeCell ref="BP22:BR22"/>
    <mergeCell ref="BS22:BU22"/>
    <mergeCell ref="AT22:AW22"/>
    <mergeCell ref="AX22:AZ22"/>
    <mergeCell ref="BA22:BC22"/>
    <mergeCell ref="BD22:BF22"/>
    <mergeCell ref="BG22:BI22"/>
    <mergeCell ref="BJ22:BL22"/>
    <mergeCell ref="BM22:BO22"/>
    <mergeCell ref="AT24:AV24"/>
    <mergeCell ref="AX24:AZ24"/>
    <mergeCell ref="BA24:BC24"/>
    <mergeCell ref="BD24:BF24"/>
    <mergeCell ref="BG24:BI24"/>
    <mergeCell ref="BJ24:BL24"/>
    <mergeCell ref="BM24:BO24"/>
    <mergeCell ref="BP24:BR24"/>
    <mergeCell ref="BS24:BU24"/>
    <mergeCell ref="BV24:BX24"/>
    <mergeCell ref="BY24:CA24"/>
    <mergeCell ref="CB24:CD24"/>
    <mergeCell ref="CE24:CG24"/>
    <mergeCell ref="CH24:CJ24"/>
    <mergeCell ref="CK24:CM24"/>
    <mergeCell ref="CN24:CP24"/>
    <mergeCell ref="CR24:CT24"/>
    <mergeCell ref="CU24:DG24"/>
    <mergeCell ref="DH24:DJ24"/>
    <mergeCell ref="DK24:DM24"/>
    <mergeCell ref="DN24:DP24"/>
    <mergeCell ref="FJ24:FL24"/>
    <mergeCell ref="FN24:FY24"/>
    <mergeCell ref="FZ24:GA24"/>
    <mergeCell ref="HG24:HI24"/>
    <mergeCell ref="HG25:HI25"/>
    <mergeCell ref="DQ24:DS24"/>
    <mergeCell ref="DT24:DV24"/>
    <mergeCell ref="DW24:DY24"/>
    <mergeCell ref="EA24:EN24"/>
    <mergeCell ref="EO24:EP24"/>
    <mergeCell ref="EQ24:ER24"/>
    <mergeCell ref="ET24:FI24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T25:AW25"/>
    <mergeCell ref="BD25:BF25"/>
    <mergeCell ref="BG25:BI25"/>
    <mergeCell ref="BJ25:BL25"/>
    <mergeCell ref="BM25:BO25"/>
    <mergeCell ref="BP25:BR25"/>
    <mergeCell ref="BS25:BU25"/>
    <mergeCell ref="BV25:BX25"/>
    <mergeCell ref="BY25:CA25"/>
    <mergeCell ref="CB25:CD25"/>
    <mergeCell ref="CE25:CG25"/>
    <mergeCell ref="CH25:CJ25"/>
    <mergeCell ref="CK25:CM25"/>
    <mergeCell ref="CN25:CP25"/>
    <mergeCell ref="CR25:CT25"/>
    <mergeCell ref="EA25:EN25"/>
    <mergeCell ref="EO25:EP25"/>
    <mergeCell ref="EQ25:ER25"/>
    <mergeCell ref="ET25:FI25"/>
    <mergeCell ref="FJ25:FL25"/>
    <mergeCell ref="FN25:FY25"/>
    <mergeCell ref="FZ25:GA25"/>
    <mergeCell ref="CU25:DG25"/>
    <mergeCell ref="DH25:DJ25"/>
    <mergeCell ref="DK25:DM25"/>
    <mergeCell ref="DN25:DP25"/>
    <mergeCell ref="DQ25:DS25"/>
    <mergeCell ref="DT25:DV25"/>
    <mergeCell ref="DW25:DY25"/>
    <mergeCell ref="BJ26:BL26"/>
    <mergeCell ref="BM26:BO26"/>
    <mergeCell ref="BP26:BR26"/>
    <mergeCell ref="BS26:BU26"/>
    <mergeCell ref="BV26:BX26"/>
    <mergeCell ref="BY26:CA26"/>
    <mergeCell ref="CB26:CD26"/>
    <mergeCell ref="EQ26:ER26"/>
    <mergeCell ref="ET26:FI26"/>
    <mergeCell ref="FJ26:FL26"/>
    <mergeCell ref="FN26:FY26"/>
    <mergeCell ref="FZ26:GA26"/>
    <mergeCell ref="HG26:HI26"/>
    <mergeCell ref="DK26:DM26"/>
    <mergeCell ref="DN26:DP26"/>
    <mergeCell ref="DQ26:DS26"/>
    <mergeCell ref="DT26:DV26"/>
    <mergeCell ref="DW26:DY26"/>
    <mergeCell ref="EA26:EN26"/>
    <mergeCell ref="EO26:EP26"/>
    <mergeCell ref="CE26:CG26"/>
    <mergeCell ref="CH26:CJ26"/>
    <mergeCell ref="CK26:CM26"/>
    <mergeCell ref="CN26:CP26"/>
    <mergeCell ref="CR26:CT26"/>
    <mergeCell ref="CU26:DG26"/>
    <mergeCell ref="DH26:DJ26"/>
    <mergeCell ref="EA27:EN27"/>
    <mergeCell ref="EO27:EP27"/>
    <mergeCell ref="EQ27:ER27"/>
    <mergeCell ref="ET27:FI27"/>
    <mergeCell ref="FJ27:FL27"/>
    <mergeCell ref="FN27:FY27"/>
    <mergeCell ref="FZ27:GA27"/>
    <mergeCell ref="HG27:HI27"/>
    <mergeCell ref="EA28:EN28"/>
    <mergeCell ref="EO28:EP28"/>
    <mergeCell ref="EQ28:ER28"/>
    <mergeCell ref="ET28:FI28"/>
    <mergeCell ref="FJ28:FL28"/>
    <mergeCell ref="FN28:FY28"/>
    <mergeCell ref="FZ28:GA28"/>
    <mergeCell ref="HG28:HI28"/>
    <mergeCell ref="FN29:FY29"/>
    <mergeCell ref="FZ29:GA29"/>
    <mergeCell ref="HG29:HI29"/>
    <mergeCell ref="HE30:HF30"/>
    <mergeCell ref="HG30:HI30"/>
    <mergeCell ref="CU29:DG29"/>
    <mergeCell ref="DH29:DJ29"/>
    <mergeCell ref="EA29:EN29"/>
    <mergeCell ref="EO29:EP29"/>
    <mergeCell ref="EQ29:ER29"/>
    <mergeCell ref="FH29:FI29"/>
    <mergeCell ref="FJ29:FL29"/>
    <mergeCell ref="AT39:AW40"/>
    <mergeCell ref="AT42:AW42"/>
    <mergeCell ref="AX42:AZ42"/>
    <mergeCell ref="BA42:BC42"/>
    <mergeCell ref="BD42:BF42"/>
    <mergeCell ref="BG42:BI42"/>
    <mergeCell ref="Z39:Z42"/>
    <mergeCell ref="AA39:AA42"/>
    <mergeCell ref="AX39:AZ40"/>
    <mergeCell ref="BA39:BC40"/>
    <mergeCell ref="BD39:BF40"/>
    <mergeCell ref="BG39:BI40"/>
    <mergeCell ref="BG41:BI41"/>
    <mergeCell ref="S39:S42"/>
    <mergeCell ref="T39:T42"/>
    <mergeCell ref="U39:U42"/>
    <mergeCell ref="V39:V42"/>
    <mergeCell ref="W39:W42"/>
    <mergeCell ref="X39:X42"/>
    <mergeCell ref="Y39:Y42"/>
    <mergeCell ref="AT41:AW41"/>
    <mergeCell ref="AX41:AZ41"/>
    <mergeCell ref="BA41:BC41"/>
    <mergeCell ref="BD41:BF41"/>
    <mergeCell ref="BJ41:BL41"/>
    <mergeCell ref="BM41:BO41"/>
    <mergeCell ref="BP41:BR41"/>
    <mergeCell ref="BS41:BU41"/>
    <mergeCell ref="BV41:BX41"/>
    <mergeCell ref="BY41:CA41"/>
    <mergeCell ref="CB41:CD41"/>
    <mergeCell ref="CE41:CG41"/>
    <mergeCell ref="CH41:CJ41"/>
    <mergeCell ref="CK41:CM41"/>
    <mergeCell ref="CN41:CP41"/>
    <mergeCell ref="CR41:CT41"/>
    <mergeCell ref="EA41:EN41"/>
    <mergeCell ref="EO41:EP41"/>
    <mergeCell ref="EQ41:ER41"/>
    <mergeCell ref="CU41:DG41"/>
    <mergeCell ref="DH41:DJ41"/>
    <mergeCell ref="DK41:DM41"/>
    <mergeCell ref="DN41:DP41"/>
    <mergeCell ref="DQ41:DS41"/>
    <mergeCell ref="DT41:DV41"/>
    <mergeCell ref="DW41:DY41"/>
    <mergeCell ref="BJ39:BL40"/>
    <mergeCell ref="BM39:BO40"/>
    <mergeCell ref="BJ42:BL42"/>
    <mergeCell ref="BM42:BO42"/>
    <mergeCell ref="BP42:BR42"/>
    <mergeCell ref="BS42:BU42"/>
    <mergeCell ref="BV42:BX42"/>
    <mergeCell ref="T12:T15"/>
    <mergeCell ref="U12:U15"/>
    <mergeCell ref="D12:M15"/>
    <mergeCell ref="N12:N15"/>
    <mergeCell ref="O12:O15"/>
    <mergeCell ref="P12:P15"/>
    <mergeCell ref="Q12:Q15"/>
    <mergeCell ref="R12:R15"/>
    <mergeCell ref="S12:S15"/>
    <mergeCell ref="D19:AR19"/>
    <mergeCell ref="AC12:AC15"/>
    <mergeCell ref="AD12:AD15"/>
    <mergeCell ref="V12:V15"/>
    <mergeCell ref="W12:W15"/>
    <mergeCell ref="X12:X15"/>
    <mergeCell ref="Y12:Y15"/>
    <mergeCell ref="Z12:Z15"/>
    <mergeCell ref="AA12:AA15"/>
    <mergeCell ref="AB12:AB15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D24:M24"/>
    <mergeCell ref="D25:M25"/>
    <mergeCell ref="D26:M26"/>
    <mergeCell ref="D27:M27"/>
    <mergeCell ref="D28:M28"/>
    <mergeCell ref="D29:M29"/>
    <mergeCell ref="BP29:BR30"/>
    <mergeCell ref="BS29:BU30"/>
    <mergeCell ref="BV29:BX30"/>
    <mergeCell ref="BY29:CA30"/>
    <mergeCell ref="CB29:CD30"/>
    <mergeCell ref="CE29:CG30"/>
    <mergeCell ref="CH29:CJ30"/>
    <mergeCell ref="AT29:AW30"/>
    <mergeCell ref="AX29:AZ30"/>
    <mergeCell ref="BA29:BC30"/>
    <mergeCell ref="BD29:BF30"/>
    <mergeCell ref="BG29:BI30"/>
    <mergeCell ref="BJ29:BL30"/>
    <mergeCell ref="BM29:BO30"/>
    <mergeCell ref="BA32:BC32"/>
    <mergeCell ref="BD32:BF32"/>
    <mergeCell ref="BG32:BI32"/>
    <mergeCell ref="BJ32:BL32"/>
    <mergeCell ref="AT31:AW31"/>
    <mergeCell ref="BA31:BC31"/>
    <mergeCell ref="BD31:BF31"/>
    <mergeCell ref="BG31:BI31"/>
    <mergeCell ref="BJ31:BL31"/>
    <mergeCell ref="BM31:BO31"/>
    <mergeCell ref="AT32:AV32"/>
    <mergeCell ref="BM32:BO32"/>
    <mergeCell ref="CK27:CM27"/>
    <mergeCell ref="CN27:CP27"/>
    <mergeCell ref="CR27:CT27"/>
    <mergeCell ref="BP27:BR27"/>
    <mergeCell ref="BS27:BU27"/>
    <mergeCell ref="BV27:BX27"/>
    <mergeCell ref="BY27:CA27"/>
    <mergeCell ref="CB27:CD27"/>
    <mergeCell ref="CE27:CG27"/>
    <mergeCell ref="CH27:CJ27"/>
    <mergeCell ref="AT28:CP28"/>
    <mergeCell ref="CR28:CT28"/>
    <mergeCell ref="AT27:AW27"/>
    <mergeCell ref="AX27:AZ27"/>
    <mergeCell ref="BA27:BC27"/>
    <mergeCell ref="BD27:BF27"/>
    <mergeCell ref="BG27:BI27"/>
    <mergeCell ref="BJ27:BL27"/>
    <mergeCell ref="BM27:BO27"/>
    <mergeCell ref="AX25:AZ25"/>
    <mergeCell ref="BA25:BC25"/>
    <mergeCell ref="AT26:AV26"/>
    <mergeCell ref="AX26:AZ26"/>
    <mergeCell ref="BA26:BC26"/>
    <mergeCell ref="BD26:BF26"/>
    <mergeCell ref="BG26:BI26"/>
    <mergeCell ref="CK29:CM30"/>
    <mergeCell ref="CN29:CP30"/>
    <mergeCell ref="CR29:CT29"/>
    <mergeCell ref="CR30:CT30"/>
    <mergeCell ref="CR31:CT31"/>
    <mergeCell ref="CE32:CG32"/>
    <mergeCell ref="CH32:CJ32"/>
    <mergeCell ref="CK32:CM32"/>
    <mergeCell ref="CN32:CP32"/>
    <mergeCell ref="CR32:CT32"/>
    <mergeCell ref="CR33:CT33"/>
    <mergeCell ref="AX31:AZ31"/>
    <mergeCell ref="AX32:AZ32"/>
    <mergeCell ref="BP32:BR32"/>
    <mergeCell ref="BS32:BU32"/>
    <mergeCell ref="BV32:BX32"/>
    <mergeCell ref="BY32:CA32"/>
    <mergeCell ref="CB32:CD32"/>
    <mergeCell ref="AT38:CP38"/>
    <mergeCell ref="BP39:BR40"/>
    <mergeCell ref="BS39:BU40"/>
    <mergeCell ref="BV39:BX40"/>
    <mergeCell ref="BY39:CA40"/>
    <mergeCell ref="CB39:CD40"/>
    <mergeCell ref="CE39:CG40"/>
    <mergeCell ref="CH39:CJ40"/>
    <mergeCell ref="BP31:BR31"/>
    <mergeCell ref="BS31:BU31"/>
    <mergeCell ref="BV31:BX31"/>
    <mergeCell ref="BY31:CA31"/>
    <mergeCell ref="CB31:CD31"/>
    <mergeCell ref="CE31:CG31"/>
    <mergeCell ref="CH31:CJ31"/>
    <mergeCell ref="CN39:CP40"/>
    <mergeCell ref="CR39:CT39"/>
    <mergeCell ref="CR40:CT40"/>
    <mergeCell ref="CU39:DG39"/>
    <mergeCell ref="DH39:DJ39"/>
    <mergeCell ref="CU40:DG40"/>
    <mergeCell ref="DH40:DJ40"/>
    <mergeCell ref="DK39:DM39"/>
    <mergeCell ref="DN39:DP39"/>
    <mergeCell ref="DK40:DM40"/>
    <mergeCell ref="DN40:DP40"/>
    <mergeCell ref="DQ39:DS39"/>
    <mergeCell ref="DT39:DV39"/>
    <mergeCell ref="DQ40:DS40"/>
    <mergeCell ref="DT40:DV40"/>
    <mergeCell ref="DW40:DY40"/>
    <mergeCell ref="EA40:EN40"/>
    <mergeCell ref="EO39:EP39"/>
    <mergeCell ref="EQ39:ER39"/>
    <mergeCell ref="EO40:EP40"/>
    <mergeCell ref="EQ40:ER40"/>
    <mergeCell ref="CU42:DG42"/>
    <mergeCell ref="DH42:DJ42"/>
    <mergeCell ref="BY42:CA42"/>
    <mergeCell ref="CB42:CD42"/>
    <mergeCell ref="CE42:CG42"/>
    <mergeCell ref="CH42:CJ42"/>
    <mergeCell ref="CK42:CM42"/>
    <mergeCell ref="CN42:CP42"/>
    <mergeCell ref="CR42:CT42"/>
    <mergeCell ref="AP57:AP60"/>
    <mergeCell ref="AQ57:AQ60"/>
    <mergeCell ref="AR57:AR60"/>
    <mergeCell ref="AT57:AW58"/>
    <mergeCell ref="AT59:AW59"/>
    <mergeCell ref="AT60:AW60"/>
    <mergeCell ref="AT49:AW50"/>
    <mergeCell ref="AT52:AV52"/>
    <mergeCell ref="AA57:AA60"/>
    <mergeCell ref="AB57:AB60"/>
    <mergeCell ref="AC57:AC60"/>
    <mergeCell ref="AD57:AD60"/>
    <mergeCell ref="AE57:AE60"/>
    <mergeCell ref="BS59:BU59"/>
    <mergeCell ref="BV59:BX59"/>
    <mergeCell ref="BS60:BU60"/>
    <mergeCell ref="BV60:BX60"/>
    <mergeCell ref="BM57:BO58"/>
    <mergeCell ref="BP57:BR58"/>
    <mergeCell ref="BS57:BU58"/>
    <mergeCell ref="BV57:BX58"/>
    <mergeCell ref="BD59:BF59"/>
    <mergeCell ref="BG59:BI59"/>
    <mergeCell ref="BJ59:BL59"/>
    <mergeCell ref="BD52:BF52"/>
    <mergeCell ref="BG52:BI52"/>
    <mergeCell ref="AH49:AH52"/>
    <mergeCell ref="AI49:AI52"/>
    <mergeCell ref="AX49:AZ50"/>
    <mergeCell ref="BA49:BC50"/>
    <mergeCell ref="BD49:BF50"/>
    <mergeCell ref="BG49:BI50"/>
    <mergeCell ref="BG51:BI51"/>
    <mergeCell ref="AF57:AF60"/>
    <mergeCell ref="AG57:AG60"/>
    <mergeCell ref="AH57:AH60"/>
    <mergeCell ref="AI57:AI60"/>
    <mergeCell ref="AJ57:AJ60"/>
    <mergeCell ref="AK57:AK60"/>
    <mergeCell ref="AL57:AL60"/>
    <mergeCell ref="AM57:AM60"/>
    <mergeCell ref="BM60:BO60"/>
    <mergeCell ref="BP60:BR60"/>
    <mergeCell ref="BM59:BO59"/>
    <mergeCell ref="BP59:BR59"/>
    <mergeCell ref="AX60:AZ60"/>
    <mergeCell ref="BA60:BC60"/>
    <mergeCell ref="BD60:BF60"/>
    <mergeCell ref="BG60:BI60"/>
    <mergeCell ref="BJ60:BL60"/>
    <mergeCell ref="AX59:AZ59"/>
    <mergeCell ref="BA59:BC59"/>
    <mergeCell ref="BY59:CA59"/>
    <mergeCell ref="CB59:CD59"/>
    <mergeCell ref="CE59:CG59"/>
    <mergeCell ref="CH59:CJ59"/>
    <mergeCell ref="CK59:CM59"/>
    <mergeCell ref="CR59:CT59"/>
    <mergeCell ref="CR60:CT60"/>
    <mergeCell ref="CR61:CT61"/>
    <mergeCell ref="CN59:CP59"/>
    <mergeCell ref="BY60:CA60"/>
    <mergeCell ref="CB60:CD60"/>
    <mergeCell ref="CE60:CG60"/>
    <mergeCell ref="CH60:CJ60"/>
    <mergeCell ref="CK60:CM60"/>
    <mergeCell ref="CN60:CP60"/>
    <mergeCell ref="AN57:AN60"/>
    <mergeCell ref="AO57:AO60"/>
    <mergeCell ref="AX57:AZ58"/>
    <mergeCell ref="BA57:BC58"/>
    <mergeCell ref="BD57:BF58"/>
    <mergeCell ref="BG57:BI58"/>
    <mergeCell ref="BJ57:BL58"/>
    <mergeCell ref="CK61:CM61"/>
    <mergeCell ref="CN61:CP61"/>
    <mergeCell ref="BP61:BR61"/>
    <mergeCell ref="BS61:BU61"/>
    <mergeCell ref="BV61:BX61"/>
    <mergeCell ref="BY61:CA61"/>
    <mergeCell ref="CB61:CD61"/>
    <mergeCell ref="CE61:CG61"/>
    <mergeCell ref="CH61:CJ61"/>
    <mergeCell ref="AT61:AV61"/>
    <mergeCell ref="AX61:AZ61"/>
    <mergeCell ref="BA61:BC61"/>
    <mergeCell ref="BD61:BF61"/>
    <mergeCell ref="BG61:BI61"/>
    <mergeCell ref="BJ61:BL61"/>
    <mergeCell ref="BM61:BO61"/>
    <mergeCell ref="DN63:DP63"/>
    <mergeCell ref="DQ63:DS63"/>
    <mergeCell ref="DT63:DV63"/>
    <mergeCell ref="CH63:CJ63"/>
    <mergeCell ref="CK63:CM63"/>
    <mergeCell ref="CN63:CP63"/>
    <mergeCell ref="CR63:CT63"/>
    <mergeCell ref="CU63:DG63"/>
    <mergeCell ref="DH63:DJ63"/>
    <mergeCell ref="DK63:DM63"/>
    <mergeCell ref="CR64:CT64"/>
    <mergeCell ref="CU64:DG64"/>
    <mergeCell ref="DH64:DJ64"/>
    <mergeCell ref="DK64:DM64"/>
    <mergeCell ref="DN64:DP64"/>
    <mergeCell ref="DQ64:DS64"/>
    <mergeCell ref="DT64:DV64"/>
    <mergeCell ref="BV64:BX64"/>
    <mergeCell ref="BY64:CA64"/>
    <mergeCell ref="CB64:CD64"/>
    <mergeCell ref="CE64:CG64"/>
    <mergeCell ref="CH64:CJ64"/>
    <mergeCell ref="CK64:CM64"/>
    <mergeCell ref="CN64:CP64"/>
    <mergeCell ref="DK66:DM66"/>
    <mergeCell ref="DN66:DP66"/>
    <mergeCell ref="CR67:CT67"/>
    <mergeCell ref="CU67:DG67"/>
    <mergeCell ref="DH67:DJ67"/>
    <mergeCell ref="DK67:DM67"/>
    <mergeCell ref="DN67:DP67"/>
    <mergeCell ref="DQ66:DS66"/>
    <mergeCell ref="DT66:DV66"/>
    <mergeCell ref="DQ67:DS67"/>
    <mergeCell ref="DT67:DV67"/>
    <mergeCell ref="DN65:DP65"/>
    <mergeCell ref="DQ65:DS65"/>
    <mergeCell ref="DT65:DV65"/>
    <mergeCell ref="AT66:CP66"/>
    <mergeCell ref="CR66:CT66"/>
    <mergeCell ref="CU66:DG66"/>
    <mergeCell ref="DH66:DJ66"/>
    <mergeCell ref="BP62:BR62"/>
    <mergeCell ref="BS62:BU62"/>
    <mergeCell ref="BV62:BX62"/>
    <mergeCell ref="BY62:CA62"/>
    <mergeCell ref="CB62:CD62"/>
    <mergeCell ref="CE62:CG62"/>
    <mergeCell ref="CH62:CJ62"/>
    <mergeCell ref="AX62:AZ62"/>
    <mergeCell ref="AX63:AZ63"/>
    <mergeCell ref="AT64:AW64"/>
    <mergeCell ref="AX64:AZ64"/>
    <mergeCell ref="BA63:BC63"/>
    <mergeCell ref="BD63:BF63"/>
    <mergeCell ref="BA64:BC64"/>
    <mergeCell ref="BD64:BF64"/>
    <mergeCell ref="AT62:AW62"/>
    <mergeCell ref="BA62:BC62"/>
    <mergeCell ref="BD62:BF62"/>
    <mergeCell ref="BG62:BI62"/>
    <mergeCell ref="BJ62:BL62"/>
    <mergeCell ref="BM62:BO62"/>
    <mergeCell ref="AT63:AV63"/>
    <mergeCell ref="BM63:BO63"/>
    <mergeCell ref="BP63:BR63"/>
    <mergeCell ref="BS63:BU63"/>
    <mergeCell ref="BV63:BX63"/>
    <mergeCell ref="BY63:CA63"/>
    <mergeCell ref="CB63:CD63"/>
    <mergeCell ref="CE63:CG63"/>
    <mergeCell ref="BG63:BI63"/>
    <mergeCell ref="BJ63:BL63"/>
    <mergeCell ref="BG64:BI64"/>
    <mergeCell ref="BJ64:BL64"/>
    <mergeCell ref="BM64:BO64"/>
    <mergeCell ref="BP64:BR64"/>
    <mergeCell ref="BS64:BU64"/>
    <mergeCell ref="CK62:CM62"/>
    <mergeCell ref="CN62:CP62"/>
    <mergeCell ref="CR62:CT62"/>
    <mergeCell ref="CR65:CT65"/>
    <mergeCell ref="CU65:DG65"/>
    <mergeCell ref="DH65:DJ65"/>
    <mergeCell ref="DK65:DM65"/>
    <mergeCell ref="EO60:EP60"/>
    <mergeCell ref="EQ60:ER60"/>
    <mergeCell ref="ET60:FI60"/>
    <mergeCell ref="FJ60:FL60"/>
    <mergeCell ref="EO61:EP61"/>
    <mergeCell ref="EQ61:ER61"/>
    <mergeCell ref="ET61:FI61"/>
    <mergeCell ref="FJ61:FL61"/>
    <mergeCell ref="FN61:FY61"/>
    <mergeCell ref="FZ61:GA61"/>
    <mergeCell ref="ES56:ES65"/>
    <mergeCell ref="EO62:EP62"/>
    <mergeCell ref="EQ62:ER62"/>
    <mergeCell ref="EO64:EP64"/>
    <mergeCell ref="EQ64:ER64"/>
    <mergeCell ref="EO65:EP65"/>
    <mergeCell ref="EQ65:ER65"/>
    <mergeCell ref="FN64:FY64"/>
    <mergeCell ref="FN65:FY65"/>
    <mergeCell ref="ET62:FI62"/>
    <mergeCell ref="FJ62:FL62"/>
    <mergeCell ref="ET64:FI64"/>
    <mergeCell ref="FJ64:FL64"/>
    <mergeCell ref="FZ64:GA64"/>
    <mergeCell ref="ET65:FI65"/>
    <mergeCell ref="FJ65:FL65"/>
    <mergeCell ref="FZ65:GA65"/>
    <mergeCell ref="FN62:FY62"/>
    <mergeCell ref="FZ62:GA62"/>
    <mergeCell ref="DW57:DY57"/>
    <mergeCell ref="DW63:DY63"/>
    <mergeCell ref="EA63:EN63"/>
    <mergeCell ref="EO63:EP63"/>
    <mergeCell ref="EQ63:ER63"/>
    <mergeCell ref="ET63:FI63"/>
    <mergeCell ref="FJ63:FL63"/>
    <mergeCell ref="FN63:FY63"/>
    <mergeCell ref="HG62:HI62"/>
    <mergeCell ref="HG63:HI63"/>
    <mergeCell ref="DW64:DY64"/>
    <mergeCell ref="EA64:EN64"/>
    <mergeCell ref="FN57:FY60"/>
    <mergeCell ref="FZ57:GA60"/>
    <mergeCell ref="FH67:FI67"/>
    <mergeCell ref="FJ67:FL67"/>
    <mergeCell ref="HE67:HF67"/>
    <mergeCell ref="HG67:HI67"/>
    <mergeCell ref="DW52:DY52"/>
    <mergeCell ref="FM56:FM66"/>
    <mergeCell ref="HJ56:HJ67"/>
    <mergeCell ref="EA57:EN57"/>
    <mergeCell ref="HG61:HI61"/>
    <mergeCell ref="FZ63:GA63"/>
    <mergeCell ref="HG66:HI66"/>
    <mergeCell ref="DZ56:DZ65"/>
    <mergeCell ref="DW65:DY65"/>
    <mergeCell ref="HG64:HI64"/>
    <mergeCell ref="HG65:HI65"/>
    <mergeCell ref="EA65:EN65"/>
    <mergeCell ref="EA66:EN66"/>
    <mergeCell ref="EO66:EP66"/>
    <mergeCell ref="EQ66:ER66"/>
    <mergeCell ref="ET66:FI66"/>
    <mergeCell ref="FJ66:FL66"/>
    <mergeCell ref="FN66:FY66"/>
    <mergeCell ref="FZ66:GA66"/>
    <mergeCell ref="DW66:DY66"/>
    <mergeCell ref="DW67:DY67"/>
    <mergeCell ref="AA49:AA52"/>
    <mergeCell ref="AB49:AB52"/>
    <mergeCell ref="AC49:AC52"/>
    <mergeCell ref="AD49:AD52"/>
    <mergeCell ref="AE49:AE52"/>
    <mergeCell ref="AF49:AF52"/>
    <mergeCell ref="AG49:AG52"/>
    <mergeCell ref="CE49:CG50"/>
    <mergeCell ref="CH49:CJ50"/>
    <mergeCell ref="CK49:CM50"/>
    <mergeCell ref="CN49:CP50"/>
    <mergeCell ref="CR50:CT50"/>
    <mergeCell ref="BJ49:BL50"/>
    <mergeCell ref="BM49:BO50"/>
    <mergeCell ref="BP49:BR50"/>
    <mergeCell ref="BS49:BU50"/>
    <mergeCell ref="BV49:BX50"/>
    <mergeCell ref="BY49:CA50"/>
    <mergeCell ref="CB49:CD50"/>
    <mergeCell ref="AT51:AW51"/>
    <mergeCell ref="AX51:AZ51"/>
    <mergeCell ref="BY51:CA51"/>
    <mergeCell ref="CB51:CD51"/>
    <mergeCell ref="CE51:CG51"/>
    <mergeCell ref="CH51:CJ51"/>
    <mergeCell ref="CK51:CM51"/>
    <mergeCell ref="CN51:CP51"/>
    <mergeCell ref="CR51:CT51"/>
    <mergeCell ref="BA51:BC51"/>
    <mergeCell ref="BD51:BF51"/>
    <mergeCell ref="BJ51:BL51"/>
    <mergeCell ref="BM51:BO51"/>
    <mergeCell ref="BP51:BR51"/>
    <mergeCell ref="BS51:BU51"/>
    <mergeCell ref="BV51:BX51"/>
    <mergeCell ref="AX52:AZ52"/>
    <mergeCell ref="BA52:BC52"/>
    <mergeCell ref="BJ52:BL52"/>
    <mergeCell ref="BM52:BO52"/>
    <mergeCell ref="BP52:BR52"/>
    <mergeCell ref="BS52:BU52"/>
    <mergeCell ref="BV52:BX52"/>
    <mergeCell ref="GB57:GB60"/>
    <mergeCell ref="GC57:GC60"/>
    <mergeCell ref="GD57:GD60"/>
    <mergeCell ref="GE57:GE60"/>
    <mergeCell ref="GF57:GF60"/>
    <mergeCell ref="GG57:GG60"/>
    <mergeCell ref="GH57:GH60"/>
    <mergeCell ref="GI57:GI60"/>
    <mergeCell ref="GJ57:GJ60"/>
    <mergeCell ref="GK57:GK60"/>
    <mergeCell ref="GL57:GL60"/>
    <mergeCell ref="GM57:GM60"/>
    <mergeCell ref="GN57:GN60"/>
    <mergeCell ref="GO57:GO60"/>
    <mergeCell ref="GP57:GP60"/>
    <mergeCell ref="GQ57:GQ60"/>
    <mergeCell ref="GR57:GR60"/>
    <mergeCell ref="GS57:GS60"/>
    <mergeCell ref="GT57:GT60"/>
    <mergeCell ref="GU57:GU60"/>
    <mergeCell ref="GV57:GV60"/>
    <mergeCell ref="GW57:GW60"/>
    <mergeCell ref="GX57:GX60"/>
    <mergeCell ref="GY57:GY60"/>
    <mergeCell ref="GZ57:GZ60"/>
    <mergeCell ref="HA57:HA60"/>
    <mergeCell ref="HB57:HB60"/>
    <mergeCell ref="HC57:HC60"/>
    <mergeCell ref="EA56:ER56"/>
    <mergeCell ref="ET56:FL56"/>
    <mergeCell ref="CU52:DG52"/>
    <mergeCell ref="DH52:DJ52"/>
    <mergeCell ref="DK52:DM52"/>
    <mergeCell ref="DN52:DP52"/>
    <mergeCell ref="DQ52:DS52"/>
    <mergeCell ref="DT52:DV52"/>
    <mergeCell ref="CR56:DY56"/>
    <mergeCell ref="BY52:CA52"/>
    <mergeCell ref="CB52:CD52"/>
    <mergeCell ref="CE52:CG52"/>
    <mergeCell ref="CH52:CJ52"/>
    <mergeCell ref="CK52:CM52"/>
    <mergeCell ref="CN52:CP52"/>
    <mergeCell ref="CR52:CT52"/>
    <mergeCell ref="CU57:DG57"/>
    <mergeCell ref="DH57:DJ57"/>
    <mergeCell ref="DK57:DM57"/>
    <mergeCell ref="DN57:DP57"/>
    <mergeCell ref="DQ57:DS57"/>
    <mergeCell ref="DT57:DV57"/>
    <mergeCell ref="EO57:EP57"/>
    <mergeCell ref="EQ57:ER57"/>
    <mergeCell ref="ET57:FI57"/>
    <mergeCell ref="FJ57:FL57"/>
    <mergeCell ref="BY57:CA58"/>
    <mergeCell ref="CB57:CD58"/>
    <mergeCell ref="CE57:CG58"/>
    <mergeCell ref="CH57:CJ58"/>
    <mergeCell ref="CK57:CM58"/>
    <mergeCell ref="CN57:CP58"/>
    <mergeCell ref="CR57:CT57"/>
    <mergeCell ref="HD57:HD60"/>
    <mergeCell ref="HE57:HE60"/>
    <mergeCell ref="HF57:HF60"/>
    <mergeCell ref="HG57:HI60"/>
    <mergeCell ref="EO58:EP58"/>
    <mergeCell ref="EQ58:ER58"/>
    <mergeCell ref="ET58:FI58"/>
    <mergeCell ref="FJ58:FL58"/>
    <mergeCell ref="DW59:DY59"/>
    <mergeCell ref="EA59:EN59"/>
    <mergeCell ref="EO59:EP59"/>
    <mergeCell ref="EQ59:ER59"/>
    <mergeCell ref="ET59:FI59"/>
    <mergeCell ref="FJ59:FL59"/>
    <mergeCell ref="CU59:DG59"/>
    <mergeCell ref="DH59:DJ59"/>
    <mergeCell ref="DK59:DM59"/>
    <mergeCell ref="DN59:DP59"/>
    <mergeCell ref="DQ59:DS59"/>
    <mergeCell ref="DT59:DV59"/>
    <mergeCell ref="CU60:DG60"/>
    <mergeCell ref="CU61:DG61"/>
    <mergeCell ref="CU62:DG62"/>
    <mergeCell ref="DH62:DJ62"/>
    <mergeCell ref="DK62:DM62"/>
    <mergeCell ref="DN62:DP62"/>
    <mergeCell ref="DQ62:DS62"/>
    <mergeCell ref="DT62:DV62"/>
    <mergeCell ref="DW58:DY58"/>
    <mergeCell ref="EA58:EN58"/>
    <mergeCell ref="CR58:CT58"/>
    <mergeCell ref="CU58:DG58"/>
    <mergeCell ref="DH58:DJ58"/>
    <mergeCell ref="DK58:DM58"/>
    <mergeCell ref="DN58:DP58"/>
    <mergeCell ref="DQ58:DS58"/>
    <mergeCell ref="DT58:DV58"/>
    <mergeCell ref="DH60:DJ60"/>
    <mergeCell ref="DK60:DM60"/>
    <mergeCell ref="DN60:DP60"/>
    <mergeCell ref="DQ60:DS60"/>
    <mergeCell ref="DT60:DV60"/>
    <mergeCell ref="DW60:DY60"/>
    <mergeCell ref="EA60:EN60"/>
    <mergeCell ref="DH61:DJ61"/>
    <mergeCell ref="DK61:DM61"/>
    <mergeCell ref="DN61:DP61"/>
    <mergeCell ref="DQ61:DS61"/>
    <mergeCell ref="DT61:DV61"/>
    <mergeCell ref="DW61:DY61"/>
    <mergeCell ref="EA61:EN61"/>
    <mergeCell ref="DW62:DY62"/>
    <mergeCell ref="EA62:EN62"/>
    <mergeCell ref="O30:O33"/>
    <mergeCell ref="P30:P33"/>
    <mergeCell ref="R30:R33"/>
    <mergeCell ref="S30:S33"/>
    <mergeCell ref="T30:T33"/>
    <mergeCell ref="U30:U33"/>
    <mergeCell ref="V30:V33"/>
    <mergeCell ref="D20:L23"/>
    <mergeCell ref="M20:M23"/>
    <mergeCell ref="N20:N23"/>
    <mergeCell ref="O20:O23"/>
    <mergeCell ref="P20:P23"/>
    <mergeCell ref="Q20:Q23"/>
    <mergeCell ref="Q30:Q33"/>
    <mergeCell ref="D43:M43"/>
    <mergeCell ref="D44:M44"/>
    <mergeCell ref="D39:L42"/>
    <mergeCell ref="M39:M42"/>
    <mergeCell ref="N39:N42"/>
    <mergeCell ref="O39:O42"/>
    <mergeCell ref="P39:P42"/>
    <mergeCell ref="Q39:Q42"/>
    <mergeCell ref="R39:R42"/>
    <mergeCell ref="AB39:AB42"/>
    <mergeCell ref="AC39:AC42"/>
    <mergeCell ref="AD39:AD42"/>
    <mergeCell ref="AE39:AE42"/>
    <mergeCell ref="AF39:AF42"/>
    <mergeCell ref="AG39:AG42"/>
    <mergeCell ref="AH39:AH42"/>
    <mergeCell ref="BJ43:BL43"/>
    <mergeCell ref="BM43:BO43"/>
    <mergeCell ref="BP43:BR43"/>
    <mergeCell ref="BS43:BU43"/>
    <mergeCell ref="BV43:BX43"/>
    <mergeCell ref="BY43:CA43"/>
    <mergeCell ref="CB43:CD43"/>
    <mergeCell ref="CE43:CG43"/>
    <mergeCell ref="AI39:AI42"/>
    <mergeCell ref="AJ39:AJ42"/>
    <mergeCell ref="AT43:AV43"/>
    <mergeCell ref="AX43:AZ43"/>
    <mergeCell ref="BA43:BC43"/>
    <mergeCell ref="BD43:BF43"/>
    <mergeCell ref="BG43:BI43"/>
    <mergeCell ref="BP44:BR44"/>
    <mergeCell ref="BS44:BU44"/>
    <mergeCell ref="BV44:BX44"/>
    <mergeCell ref="BY44:CA44"/>
    <mergeCell ref="CB44:CD44"/>
    <mergeCell ref="CE44:CG44"/>
    <mergeCell ref="AX44:AZ44"/>
    <mergeCell ref="AX45:AZ45"/>
    <mergeCell ref="BA45:BC45"/>
    <mergeCell ref="BD45:BF45"/>
    <mergeCell ref="BM45:BO45"/>
    <mergeCell ref="BP45:BR45"/>
    <mergeCell ref="BS45:BU45"/>
    <mergeCell ref="BV45:BX45"/>
    <mergeCell ref="BY45:CA45"/>
    <mergeCell ref="CB45:CD45"/>
    <mergeCell ref="CE45:CG45"/>
    <mergeCell ref="P49:P52"/>
    <mergeCell ref="Q49:Q52"/>
    <mergeCell ref="A53:B53"/>
    <mergeCell ref="A55:B55"/>
    <mergeCell ref="A56:B56"/>
    <mergeCell ref="C56:C70"/>
    <mergeCell ref="A57:B70"/>
    <mergeCell ref="A71:B71"/>
    <mergeCell ref="A73:B73"/>
    <mergeCell ref="A74:B74"/>
    <mergeCell ref="D45:M45"/>
    <mergeCell ref="D46:M46"/>
    <mergeCell ref="D47:M47"/>
    <mergeCell ref="D48:M48"/>
    <mergeCell ref="D49:M52"/>
    <mergeCell ref="N49:N52"/>
    <mergeCell ref="O49:O52"/>
    <mergeCell ref="D57:L60"/>
    <mergeCell ref="M57:M60"/>
    <mergeCell ref="N57:N60"/>
    <mergeCell ref="O57:O60"/>
    <mergeCell ref="P57:P60"/>
    <mergeCell ref="Q57:Q60"/>
    <mergeCell ref="D61:M61"/>
    <mergeCell ref="O67:O70"/>
    <mergeCell ref="P67:P70"/>
    <mergeCell ref="Q67:Q70"/>
    <mergeCell ref="D62:M62"/>
    <mergeCell ref="D63:M63"/>
    <mergeCell ref="D64:M64"/>
    <mergeCell ref="D65:M65"/>
    <mergeCell ref="D66:M66"/>
    <mergeCell ref="D67:M70"/>
    <mergeCell ref="N67:N70"/>
    <mergeCell ref="AQ49:AQ52"/>
    <mergeCell ref="D56:AR56"/>
    <mergeCell ref="AJ49:AJ52"/>
    <mergeCell ref="AK49:AK52"/>
    <mergeCell ref="AL49:AL52"/>
    <mergeCell ref="AM49:AM52"/>
    <mergeCell ref="AN49:AN52"/>
    <mergeCell ref="AO49:AO52"/>
    <mergeCell ref="AP49:AP52"/>
    <mergeCell ref="D30:M33"/>
    <mergeCell ref="N30:N33"/>
    <mergeCell ref="D38:AR38"/>
    <mergeCell ref="AD30:AD33"/>
    <mergeCell ref="AE30:AE33"/>
    <mergeCell ref="AF30:AF33"/>
    <mergeCell ref="AG30:AG33"/>
    <mergeCell ref="AH30:AH33"/>
    <mergeCell ref="AI30:AI33"/>
    <mergeCell ref="AJ30:AJ33"/>
    <mergeCell ref="A20:B33"/>
    <mergeCell ref="A37:B37"/>
    <mergeCell ref="A38:B38"/>
    <mergeCell ref="C38:C52"/>
    <mergeCell ref="A39:B52"/>
    <mergeCell ref="AR30:AR33"/>
    <mergeCell ref="AS38:AS52"/>
    <mergeCell ref="AR39:AR42"/>
    <mergeCell ref="AR49:AR52"/>
    <mergeCell ref="AK30:AK33"/>
    <mergeCell ref="AL30:AL33"/>
    <mergeCell ref="AM30:AM33"/>
    <mergeCell ref="AN30:AN33"/>
    <mergeCell ref="AO30:AO33"/>
    <mergeCell ref="AP30:AP33"/>
    <mergeCell ref="AQ30:AQ33"/>
    <mergeCell ref="W30:W33"/>
    <mergeCell ref="X30:X33"/>
    <mergeCell ref="Y30:Y33"/>
    <mergeCell ref="Z30:Z33"/>
    <mergeCell ref="AA30:AA33"/>
    <mergeCell ref="AB30:AB33"/>
    <mergeCell ref="AC30:AC33"/>
    <mergeCell ref="AK39:AK42"/>
    <mergeCell ref="AL39:AL42"/>
    <mergeCell ref="AM39:AM42"/>
    <mergeCell ref="AN39:AN42"/>
    <mergeCell ref="AO39:AO42"/>
    <mergeCell ref="AP39:AP42"/>
    <mergeCell ref="AQ39:AQ42"/>
    <mergeCell ref="CH70:CJ70"/>
    <mergeCell ref="CK70:CM70"/>
    <mergeCell ref="BM70:BO70"/>
    <mergeCell ref="BP70:BR70"/>
    <mergeCell ref="BS70:BU70"/>
    <mergeCell ref="BV70:BX70"/>
    <mergeCell ref="BY70:CA70"/>
    <mergeCell ref="CB70:CD70"/>
    <mergeCell ref="CE70:CG70"/>
    <mergeCell ref="AT74:CP74"/>
    <mergeCell ref="AM75:AM78"/>
    <mergeCell ref="AN75:AN78"/>
    <mergeCell ref="AO75:AO78"/>
    <mergeCell ref="AP75:AP78"/>
    <mergeCell ref="AT79:AV79"/>
    <mergeCell ref="AX79:AZ79"/>
    <mergeCell ref="BA79:BC79"/>
    <mergeCell ref="BD79:BF79"/>
    <mergeCell ref="BG79:BI79"/>
    <mergeCell ref="AK75:AK78"/>
    <mergeCell ref="AL75:AL78"/>
    <mergeCell ref="CE75:CG76"/>
    <mergeCell ref="CH75:CJ76"/>
    <mergeCell ref="CK75:CM76"/>
    <mergeCell ref="CN75:CP76"/>
    <mergeCell ref="BJ75:BL76"/>
    <mergeCell ref="BM75:BO76"/>
    <mergeCell ref="BP75:BR76"/>
    <mergeCell ref="BS75:BU76"/>
    <mergeCell ref="BV75:BX76"/>
    <mergeCell ref="BY75:CA76"/>
    <mergeCell ref="CB75:CD76"/>
    <mergeCell ref="CE78:CG78"/>
    <mergeCell ref="CH78:CJ78"/>
    <mergeCell ref="CK78:CM78"/>
    <mergeCell ref="CN78:CP78"/>
    <mergeCell ref="CK85:CM86"/>
    <mergeCell ref="CN85:CP86"/>
    <mergeCell ref="BJ78:BL78"/>
    <mergeCell ref="BM78:BO78"/>
    <mergeCell ref="BP78:BR78"/>
    <mergeCell ref="BS78:BU78"/>
    <mergeCell ref="BV78:BX78"/>
    <mergeCell ref="BY78:CA78"/>
    <mergeCell ref="CB78:CD78"/>
    <mergeCell ref="AT82:AW82"/>
    <mergeCell ref="AX82:AZ82"/>
    <mergeCell ref="BA82:BC82"/>
    <mergeCell ref="BD82:BF82"/>
    <mergeCell ref="BG82:BI82"/>
    <mergeCell ref="BJ82:BL82"/>
    <mergeCell ref="BM82:BO82"/>
    <mergeCell ref="AT84:CP84"/>
    <mergeCell ref="BA87:BC87"/>
    <mergeCell ref="BD87:BF87"/>
    <mergeCell ref="CK80:CM80"/>
    <mergeCell ref="CN80:CP80"/>
    <mergeCell ref="BP80:BR80"/>
    <mergeCell ref="BS80:BU80"/>
    <mergeCell ref="BV80:BX80"/>
    <mergeCell ref="BY80:CA80"/>
    <mergeCell ref="CB80:CD80"/>
    <mergeCell ref="CE80:CG80"/>
    <mergeCell ref="CH80:CJ80"/>
    <mergeCell ref="BA81:BC81"/>
    <mergeCell ref="BD81:BF81"/>
    <mergeCell ref="BG81:BI81"/>
    <mergeCell ref="BJ81:BL81"/>
    <mergeCell ref="AT80:AW80"/>
    <mergeCell ref="BA80:BC80"/>
    <mergeCell ref="BD80:BF80"/>
    <mergeCell ref="BG80:BI80"/>
    <mergeCell ref="BJ80:BL80"/>
    <mergeCell ref="BM80:BO80"/>
    <mergeCell ref="AT81:AV81"/>
    <mergeCell ref="BM81:BO81"/>
    <mergeCell ref="CE81:CG81"/>
    <mergeCell ref="CH81:CJ81"/>
    <mergeCell ref="CK81:CM81"/>
    <mergeCell ref="CN81:CP81"/>
    <mergeCell ref="AX80:AZ80"/>
    <mergeCell ref="AX81:AZ81"/>
    <mergeCell ref="BP81:BR81"/>
    <mergeCell ref="BS81:BU81"/>
    <mergeCell ref="BV81:BX81"/>
    <mergeCell ref="BY81:CA81"/>
    <mergeCell ref="CB81:CD81"/>
    <mergeCell ref="CK82:CM82"/>
    <mergeCell ref="CN82:CP82"/>
    <mergeCell ref="BP82:BR82"/>
    <mergeCell ref="BS82:BU82"/>
    <mergeCell ref="BV82:BX82"/>
    <mergeCell ref="BY82:CA82"/>
    <mergeCell ref="CB82:CD82"/>
    <mergeCell ref="CE82:CG82"/>
    <mergeCell ref="CH82:CJ82"/>
    <mergeCell ref="AG85:AG88"/>
    <mergeCell ref="AH85:AH88"/>
    <mergeCell ref="AI85:AI88"/>
    <mergeCell ref="AJ85:AJ88"/>
    <mergeCell ref="AK85:AK88"/>
    <mergeCell ref="AL85:AL88"/>
    <mergeCell ref="AM85:AM88"/>
    <mergeCell ref="AN85:AN88"/>
    <mergeCell ref="AO85:AO88"/>
    <mergeCell ref="AP85:AP88"/>
    <mergeCell ref="AQ85:AQ88"/>
    <mergeCell ref="AR85:AR88"/>
    <mergeCell ref="AE67:AE70"/>
    <mergeCell ref="AF67:AF70"/>
    <mergeCell ref="AS74:AS88"/>
    <mergeCell ref="AE75:AE78"/>
    <mergeCell ref="AF75:AF78"/>
    <mergeCell ref="AG75:AG78"/>
    <mergeCell ref="AH75:AH78"/>
    <mergeCell ref="CE85:CG86"/>
    <mergeCell ref="CH85:CJ86"/>
    <mergeCell ref="BJ85:BL86"/>
    <mergeCell ref="BM85:BO86"/>
    <mergeCell ref="BP85:BR86"/>
    <mergeCell ref="BS85:BU86"/>
    <mergeCell ref="BV85:BX86"/>
    <mergeCell ref="BY85:CA86"/>
    <mergeCell ref="CB85:CD86"/>
    <mergeCell ref="AT87:AW87"/>
    <mergeCell ref="AX87:AZ87"/>
    <mergeCell ref="AE85:AE88"/>
    <mergeCell ref="AF85:AF88"/>
    <mergeCell ref="AT85:AW86"/>
    <mergeCell ref="AX85:AZ86"/>
    <mergeCell ref="BA85:BC86"/>
    <mergeCell ref="BD85:BF86"/>
    <mergeCell ref="BG85:BI86"/>
    <mergeCell ref="C74:C88"/>
    <mergeCell ref="A75:B88"/>
    <mergeCell ref="D75:L78"/>
    <mergeCell ref="M75:M78"/>
    <mergeCell ref="N75:N78"/>
    <mergeCell ref="O75:O78"/>
    <mergeCell ref="P75:P78"/>
    <mergeCell ref="D85:M88"/>
    <mergeCell ref="N85:N88"/>
    <mergeCell ref="D93:L96"/>
    <mergeCell ref="M93:M96"/>
    <mergeCell ref="N93:N96"/>
    <mergeCell ref="O93:O96"/>
    <mergeCell ref="P93:P96"/>
    <mergeCell ref="P103:P106"/>
    <mergeCell ref="Q103:Q106"/>
    <mergeCell ref="D99:M99"/>
    <mergeCell ref="D100:M100"/>
    <mergeCell ref="D101:M101"/>
    <mergeCell ref="D102:M102"/>
    <mergeCell ref="D103:M106"/>
    <mergeCell ref="N103:N106"/>
    <mergeCell ref="O103:O106"/>
    <mergeCell ref="W103:W106"/>
    <mergeCell ref="X103:X106"/>
    <mergeCell ref="Y103:Y106"/>
    <mergeCell ref="Z103:Z106"/>
    <mergeCell ref="AA103:AA106"/>
    <mergeCell ref="AB103:AB106"/>
    <mergeCell ref="AC103:AC106"/>
    <mergeCell ref="AK103:AK106"/>
    <mergeCell ref="AL103:AL106"/>
    <mergeCell ref="AM103:AM106"/>
    <mergeCell ref="AN103:AN106"/>
    <mergeCell ref="AO103:AO106"/>
    <mergeCell ref="AD103:AD106"/>
    <mergeCell ref="AE103:AE106"/>
    <mergeCell ref="AF103:AF106"/>
    <mergeCell ref="AG103:AG106"/>
    <mergeCell ref="AH103:AH106"/>
    <mergeCell ref="AI103:AI106"/>
    <mergeCell ref="AJ103:AJ106"/>
    <mergeCell ref="D79:M79"/>
    <mergeCell ref="D80:M80"/>
    <mergeCell ref="D81:M81"/>
    <mergeCell ref="D82:M82"/>
    <mergeCell ref="D83:M83"/>
    <mergeCell ref="D84:M84"/>
    <mergeCell ref="O85:O88"/>
    <mergeCell ref="P85:P88"/>
    <mergeCell ref="Q85:Q88"/>
    <mergeCell ref="R85:R88"/>
    <mergeCell ref="S85:S88"/>
    <mergeCell ref="T85:T88"/>
    <mergeCell ref="U85:U88"/>
    <mergeCell ref="A89:B89"/>
    <mergeCell ref="A91:B91"/>
    <mergeCell ref="A92:B92"/>
    <mergeCell ref="C92:C106"/>
    <mergeCell ref="A93:B106"/>
    <mergeCell ref="A107:B107"/>
    <mergeCell ref="Q93:Q96"/>
    <mergeCell ref="R93:R96"/>
    <mergeCell ref="S93:S96"/>
    <mergeCell ref="T93:T96"/>
    <mergeCell ref="U93:U96"/>
    <mergeCell ref="D97:M97"/>
    <mergeCell ref="D98:M98"/>
    <mergeCell ref="Q75:Q78"/>
    <mergeCell ref="R75:R78"/>
    <mergeCell ref="R103:R106"/>
    <mergeCell ref="S103:S106"/>
    <mergeCell ref="T103:T106"/>
    <mergeCell ref="U103:U106"/>
    <mergeCell ref="V103:V106"/>
    <mergeCell ref="AT96:AW96"/>
    <mergeCell ref="AT97:AV97"/>
    <mergeCell ref="AT98:AW98"/>
    <mergeCell ref="AT99:AV99"/>
    <mergeCell ref="AQ93:AQ96"/>
    <mergeCell ref="AP103:AP106"/>
    <mergeCell ref="AQ103:AQ106"/>
    <mergeCell ref="AT100:AW100"/>
    <mergeCell ref="AT103:AW104"/>
    <mergeCell ref="AT105:AW105"/>
    <mergeCell ref="AT106:AV106"/>
    <mergeCell ref="AT75:AW76"/>
    <mergeCell ref="AT78:AW78"/>
    <mergeCell ref="AS92:AS106"/>
    <mergeCell ref="AR93:AR96"/>
    <mergeCell ref="AT93:AW94"/>
    <mergeCell ref="AT95:AW95"/>
    <mergeCell ref="AR103:AR106"/>
    <mergeCell ref="CH97:CJ97"/>
    <mergeCell ref="CK97:CM97"/>
    <mergeCell ref="CN97:CP97"/>
    <mergeCell ref="BM97:BO97"/>
    <mergeCell ref="BP97:BR97"/>
    <mergeCell ref="BS97:BU97"/>
    <mergeCell ref="BV97:BX97"/>
    <mergeCell ref="BY97:CA97"/>
    <mergeCell ref="CB97:CD97"/>
    <mergeCell ref="CE97:CG97"/>
    <mergeCell ref="CH98:CJ98"/>
    <mergeCell ref="CK98:CM98"/>
    <mergeCell ref="CN98:CP98"/>
    <mergeCell ref="BM98:BO98"/>
    <mergeCell ref="BP98:BR98"/>
    <mergeCell ref="BS98:BU98"/>
    <mergeCell ref="BV98:BX98"/>
    <mergeCell ref="BY98:CA98"/>
    <mergeCell ref="CB98:CD98"/>
    <mergeCell ref="CE98:CG98"/>
    <mergeCell ref="CH99:CJ99"/>
    <mergeCell ref="CK99:CM99"/>
    <mergeCell ref="CN99:CP99"/>
    <mergeCell ref="BM99:BO99"/>
    <mergeCell ref="BP99:BR99"/>
    <mergeCell ref="BS99:BU99"/>
    <mergeCell ref="BV99:BX99"/>
    <mergeCell ref="BY99:CA99"/>
    <mergeCell ref="CB99:CD99"/>
    <mergeCell ref="CE99:CG99"/>
    <mergeCell ref="CH100:CJ100"/>
    <mergeCell ref="CK100:CM100"/>
    <mergeCell ref="CN100:CP100"/>
    <mergeCell ref="BM100:BO100"/>
    <mergeCell ref="BP100:BR100"/>
    <mergeCell ref="BS100:BU100"/>
    <mergeCell ref="BV100:BX100"/>
    <mergeCell ref="BY100:CA100"/>
    <mergeCell ref="CB100:CD100"/>
    <mergeCell ref="CE100:CG100"/>
    <mergeCell ref="AT102:CP102"/>
    <mergeCell ref="AT77:AW77"/>
    <mergeCell ref="AX77:AZ77"/>
    <mergeCell ref="AQ75:AQ78"/>
    <mergeCell ref="AR75:AR78"/>
    <mergeCell ref="AX75:AZ76"/>
    <mergeCell ref="BA75:BC76"/>
    <mergeCell ref="BD75:BF76"/>
    <mergeCell ref="BG75:BI76"/>
    <mergeCell ref="BG77:BI77"/>
    <mergeCell ref="CH93:CJ94"/>
    <mergeCell ref="CK93:CM94"/>
    <mergeCell ref="CN93:CP94"/>
    <mergeCell ref="BY95:CA95"/>
    <mergeCell ref="CB95:CD95"/>
    <mergeCell ref="CE95:CG95"/>
    <mergeCell ref="CH95:CJ95"/>
    <mergeCell ref="CK95:CM95"/>
    <mergeCell ref="CN95:CP95"/>
    <mergeCell ref="BM93:BO94"/>
    <mergeCell ref="BP93:BR94"/>
    <mergeCell ref="BS93:BU94"/>
    <mergeCell ref="BV93:BX94"/>
    <mergeCell ref="BY93:CA94"/>
    <mergeCell ref="CB93:CD94"/>
    <mergeCell ref="CE93:CG94"/>
    <mergeCell ref="BS96:BU96"/>
    <mergeCell ref="BV96:BX96"/>
    <mergeCell ref="BY96:CA96"/>
    <mergeCell ref="CB96:CD96"/>
    <mergeCell ref="CE96:CG96"/>
    <mergeCell ref="CH96:CJ96"/>
    <mergeCell ref="CK96:CM96"/>
    <mergeCell ref="CN96:CP96"/>
    <mergeCell ref="AX96:AZ96"/>
    <mergeCell ref="BA96:BC96"/>
    <mergeCell ref="BD96:BF96"/>
    <mergeCell ref="BG96:BI96"/>
    <mergeCell ref="BJ96:BL96"/>
    <mergeCell ref="BM96:BO96"/>
    <mergeCell ref="BP96:BR96"/>
    <mergeCell ref="CH103:CJ104"/>
    <mergeCell ref="CK103:CM104"/>
    <mergeCell ref="CN103:CP104"/>
    <mergeCell ref="BM103:BO104"/>
    <mergeCell ref="BP103:BR104"/>
    <mergeCell ref="BS103:BU104"/>
    <mergeCell ref="BV103:BX104"/>
    <mergeCell ref="BY103:CA104"/>
    <mergeCell ref="CB103:CD104"/>
    <mergeCell ref="CE103:CG104"/>
    <mergeCell ref="CH105:CJ105"/>
    <mergeCell ref="CK105:CM105"/>
    <mergeCell ref="CN105:CP105"/>
    <mergeCell ref="BM105:BO105"/>
    <mergeCell ref="BP105:BR105"/>
    <mergeCell ref="BS105:BU105"/>
    <mergeCell ref="BV105:BX105"/>
    <mergeCell ref="BY105:CA105"/>
    <mergeCell ref="CB105:CD105"/>
    <mergeCell ref="CE105:CG105"/>
    <mergeCell ref="BD106:BF106"/>
    <mergeCell ref="BG106:BI106"/>
    <mergeCell ref="AX105:AZ105"/>
    <mergeCell ref="BA105:BC105"/>
    <mergeCell ref="BD105:BF105"/>
    <mergeCell ref="BG105:BI105"/>
    <mergeCell ref="BJ105:BL105"/>
    <mergeCell ref="AX106:AZ106"/>
    <mergeCell ref="BA106:BC106"/>
    <mergeCell ref="CE106:CG106"/>
    <mergeCell ref="CH106:CJ106"/>
    <mergeCell ref="CK106:CM106"/>
    <mergeCell ref="CN106:CP106"/>
    <mergeCell ref="BJ106:BL106"/>
    <mergeCell ref="BM106:BO106"/>
    <mergeCell ref="BP106:BR106"/>
    <mergeCell ref="BS106:BU106"/>
    <mergeCell ref="BV106:BX106"/>
    <mergeCell ref="BY106:CA106"/>
    <mergeCell ref="CB106:CD106"/>
    <mergeCell ref="BD78:BF78"/>
    <mergeCell ref="BG78:BI78"/>
    <mergeCell ref="AX78:AZ78"/>
    <mergeCell ref="BA78:BC78"/>
    <mergeCell ref="AX93:AZ94"/>
    <mergeCell ref="BA93:BC94"/>
    <mergeCell ref="BD93:BF94"/>
    <mergeCell ref="BG93:BI94"/>
    <mergeCell ref="BJ93:BL94"/>
    <mergeCell ref="BD98:BF98"/>
    <mergeCell ref="BG98:BI98"/>
    <mergeCell ref="AX97:AZ97"/>
    <mergeCell ref="BA97:BC97"/>
    <mergeCell ref="BD97:BF97"/>
    <mergeCell ref="BG97:BI97"/>
    <mergeCell ref="BJ97:BL97"/>
    <mergeCell ref="BA98:BC98"/>
    <mergeCell ref="BJ98:BL98"/>
    <mergeCell ref="BG100:BI100"/>
    <mergeCell ref="BJ100:BL100"/>
    <mergeCell ref="AX98:AZ98"/>
    <mergeCell ref="AX99:AZ99"/>
    <mergeCell ref="BA99:BC99"/>
    <mergeCell ref="BD99:BF99"/>
    <mergeCell ref="BG99:BI99"/>
    <mergeCell ref="BJ99:BL99"/>
    <mergeCell ref="AX100:AZ100"/>
    <mergeCell ref="BA100:BC100"/>
    <mergeCell ref="BD100:BF100"/>
    <mergeCell ref="AX103:AZ104"/>
    <mergeCell ref="BA103:BC104"/>
    <mergeCell ref="BD103:BF104"/>
    <mergeCell ref="BG103:BI104"/>
    <mergeCell ref="BJ103:BL104"/>
    <mergeCell ref="AI67:AI70"/>
    <mergeCell ref="AJ67:AJ70"/>
    <mergeCell ref="AK67:AK70"/>
    <mergeCell ref="AL67:AL70"/>
    <mergeCell ref="AM67:AM70"/>
    <mergeCell ref="AN67:AN70"/>
    <mergeCell ref="AO67:AO70"/>
    <mergeCell ref="AP67:AP70"/>
    <mergeCell ref="AQ67:AQ70"/>
    <mergeCell ref="AR67:AR70"/>
    <mergeCell ref="Y49:Y52"/>
    <mergeCell ref="Z49:Z52"/>
    <mergeCell ref="AS56:AS70"/>
    <mergeCell ref="Y57:Y60"/>
    <mergeCell ref="Z57:Z60"/>
    <mergeCell ref="Y67:Y70"/>
    <mergeCell ref="Z67:Z70"/>
    <mergeCell ref="S75:S78"/>
    <mergeCell ref="T75:T78"/>
    <mergeCell ref="U75:U78"/>
    <mergeCell ref="V75:V78"/>
    <mergeCell ref="W75:W78"/>
    <mergeCell ref="X75:X78"/>
    <mergeCell ref="Y75:Y78"/>
    <mergeCell ref="Z75:Z78"/>
    <mergeCell ref="AA75:AA78"/>
    <mergeCell ref="V93:V96"/>
    <mergeCell ref="W93:W96"/>
    <mergeCell ref="X93:X96"/>
    <mergeCell ref="Y93:Y96"/>
    <mergeCell ref="Z93:Z96"/>
    <mergeCell ref="AA93:AA96"/>
    <mergeCell ref="AB93:AB96"/>
    <mergeCell ref="AC93:AC96"/>
    <mergeCell ref="AD93:AD96"/>
    <mergeCell ref="AE93:AE96"/>
    <mergeCell ref="AF93:AF96"/>
    <mergeCell ref="AG93:AG96"/>
    <mergeCell ref="AO93:AO96"/>
    <mergeCell ref="AP93:AP96"/>
    <mergeCell ref="AH93:AH96"/>
    <mergeCell ref="AI93:AI96"/>
    <mergeCell ref="AJ93:AJ96"/>
    <mergeCell ref="AK93:AK96"/>
    <mergeCell ref="AL93:AL96"/>
    <mergeCell ref="AM93:AM96"/>
    <mergeCell ref="AN93:AN96"/>
    <mergeCell ref="R49:R52"/>
    <mergeCell ref="S49:S52"/>
    <mergeCell ref="T49:T52"/>
    <mergeCell ref="U49:U52"/>
    <mergeCell ref="V49:V52"/>
    <mergeCell ref="W49:W52"/>
    <mergeCell ref="X49:X52"/>
    <mergeCell ref="R57:R60"/>
    <mergeCell ref="S57:S60"/>
    <mergeCell ref="T57:T60"/>
    <mergeCell ref="U57:U60"/>
    <mergeCell ref="V57:V60"/>
    <mergeCell ref="W57:W60"/>
    <mergeCell ref="X57:X60"/>
    <mergeCell ref="AA67:AA70"/>
    <mergeCell ref="AB67:AB70"/>
    <mergeCell ref="AB75:AB78"/>
    <mergeCell ref="AC75:AC78"/>
    <mergeCell ref="AD75:AD78"/>
    <mergeCell ref="AC67:AC70"/>
    <mergeCell ref="AD67:AD70"/>
    <mergeCell ref="AG67:AG70"/>
    <mergeCell ref="AH67:AH70"/>
    <mergeCell ref="D74:AR74"/>
    <mergeCell ref="R67:R70"/>
    <mergeCell ref="S67:S70"/>
    <mergeCell ref="T67:T70"/>
    <mergeCell ref="U67:U70"/>
    <mergeCell ref="V67:V70"/>
    <mergeCell ref="W67:W70"/>
    <mergeCell ref="X67:X70"/>
    <mergeCell ref="AI75:AI78"/>
    <mergeCell ref="AJ75:AJ78"/>
    <mergeCell ref="BY77:CA77"/>
    <mergeCell ref="CB77:CD77"/>
    <mergeCell ref="CE77:CG77"/>
    <mergeCell ref="CH77:CJ77"/>
    <mergeCell ref="CK77:CM77"/>
    <mergeCell ref="CN77:CP77"/>
    <mergeCell ref="BA77:BC77"/>
    <mergeCell ref="BD77:BF77"/>
    <mergeCell ref="BJ77:BL77"/>
    <mergeCell ref="BM77:BO77"/>
    <mergeCell ref="BP77:BR77"/>
    <mergeCell ref="BS77:BU77"/>
    <mergeCell ref="BV77:BX77"/>
    <mergeCell ref="CE79:CG79"/>
    <mergeCell ref="CH79:CJ79"/>
    <mergeCell ref="CK79:CM79"/>
    <mergeCell ref="CN79:CP79"/>
    <mergeCell ref="BJ79:BL79"/>
    <mergeCell ref="BM79:BO79"/>
    <mergeCell ref="BP79:BR79"/>
    <mergeCell ref="BS79:BU79"/>
    <mergeCell ref="BV79:BX79"/>
    <mergeCell ref="BY79:CA79"/>
    <mergeCell ref="CB79:CD79"/>
    <mergeCell ref="V85:V88"/>
    <mergeCell ref="W85:W88"/>
    <mergeCell ref="X85:X88"/>
    <mergeCell ref="Y85:Y88"/>
    <mergeCell ref="Z85:Z88"/>
    <mergeCell ref="AA85:AA88"/>
    <mergeCell ref="AB85:AB88"/>
    <mergeCell ref="BV87:BX87"/>
    <mergeCell ref="BY87:CA87"/>
    <mergeCell ref="CB87:CD87"/>
    <mergeCell ref="CE87:CG87"/>
    <mergeCell ref="CH87:CJ87"/>
    <mergeCell ref="CK87:CM87"/>
    <mergeCell ref="CN87:CP87"/>
    <mergeCell ref="AT88:AV88"/>
    <mergeCell ref="AX88:AZ88"/>
    <mergeCell ref="D92:AR92"/>
    <mergeCell ref="AT92:CP92"/>
    <mergeCell ref="BA88:BC88"/>
    <mergeCell ref="BD88:BF88"/>
    <mergeCell ref="BG88:BI88"/>
    <mergeCell ref="BJ88:BL88"/>
    <mergeCell ref="AC85:AC88"/>
    <mergeCell ref="AD85:AD88"/>
    <mergeCell ref="BG87:BI87"/>
    <mergeCell ref="BJ87:BL87"/>
    <mergeCell ref="BM87:BO87"/>
    <mergeCell ref="BP87:BR87"/>
    <mergeCell ref="BS87:BU87"/>
    <mergeCell ref="BS88:BU88"/>
    <mergeCell ref="CK88:CM88"/>
    <mergeCell ref="CN88:CP88"/>
    <mergeCell ref="BM88:BO88"/>
    <mergeCell ref="BP88:BR88"/>
    <mergeCell ref="BV88:BX88"/>
    <mergeCell ref="BY88:CA88"/>
    <mergeCell ref="CB88:CD88"/>
    <mergeCell ref="CE88:CG88"/>
    <mergeCell ref="CH88:CJ88"/>
    <mergeCell ref="BS95:BU95"/>
    <mergeCell ref="BV95:BX95"/>
    <mergeCell ref="AX95:AZ95"/>
    <mergeCell ref="BA95:BC95"/>
    <mergeCell ref="BD95:BF95"/>
    <mergeCell ref="BG95:BI95"/>
    <mergeCell ref="BJ95:BL95"/>
    <mergeCell ref="BM95:BO95"/>
    <mergeCell ref="BP95:BR95"/>
    <mergeCell ref="DW79:DY79"/>
    <mergeCell ref="EA79:EN79"/>
    <mergeCell ref="EO79:EP79"/>
    <mergeCell ref="EQ79:ER79"/>
    <mergeCell ref="ET79:FI79"/>
    <mergeCell ref="FJ79:FL79"/>
    <mergeCell ref="FN79:FY79"/>
    <mergeCell ref="FZ79:GA79"/>
    <mergeCell ref="CR80:CT80"/>
    <mergeCell ref="CU80:DG80"/>
    <mergeCell ref="DH80:DJ80"/>
    <mergeCell ref="DK80:DM80"/>
    <mergeCell ref="DN80:DP80"/>
    <mergeCell ref="DQ80:DS80"/>
    <mergeCell ref="DT80:DV80"/>
    <mergeCell ref="CR79:CT79"/>
    <mergeCell ref="CU79:DG79"/>
    <mergeCell ref="DH79:DJ79"/>
    <mergeCell ref="DK79:DM79"/>
    <mergeCell ref="DN79:DP79"/>
    <mergeCell ref="DQ79:DS79"/>
    <mergeCell ref="DT79:DV79"/>
    <mergeCell ref="DW76:DY76"/>
    <mergeCell ref="DW80:DY80"/>
    <mergeCell ref="EQ80:ER80"/>
    <mergeCell ref="ET80:FI80"/>
    <mergeCell ref="FJ80:FL80"/>
    <mergeCell ref="FN80:FY80"/>
    <mergeCell ref="HG79:HI79"/>
    <mergeCell ref="HG80:HI80"/>
    <mergeCell ref="DQ81:DS81"/>
    <mergeCell ref="DT81:DV81"/>
    <mergeCell ref="EA80:EN80"/>
    <mergeCell ref="EO80:EP80"/>
    <mergeCell ref="CR81:CT81"/>
    <mergeCell ref="CU81:DG81"/>
    <mergeCell ref="DH81:DJ81"/>
    <mergeCell ref="DK81:DM81"/>
    <mergeCell ref="DN81:DP81"/>
    <mergeCell ref="EO81:EP81"/>
    <mergeCell ref="DW81:DY81"/>
    <mergeCell ref="EA81:EN81"/>
    <mergeCell ref="EQ81:ER81"/>
    <mergeCell ref="ET81:FI81"/>
    <mergeCell ref="FZ81:GA81"/>
    <mergeCell ref="HG81:HI81"/>
    <mergeCell ref="DQ82:DS82"/>
    <mergeCell ref="DT82:DV82"/>
    <mergeCell ref="DW82:DY82"/>
    <mergeCell ref="EA82:EN82"/>
    <mergeCell ref="EO82:EP82"/>
    <mergeCell ref="EQ82:ER82"/>
    <mergeCell ref="FJ81:FL81"/>
    <mergeCell ref="FN81:FY81"/>
    <mergeCell ref="CR82:CT82"/>
    <mergeCell ref="CU82:DG82"/>
    <mergeCell ref="DH82:DJ82"/>
    <mergeCell ref="DK82:DM82"/>
    <mergeCell ref="DN82:DP82"/>
    <mergeCell ref="FN82:FY82"/>
    <mergeCell ref="ET82:FI82"/>
    <mergeCell ref="FJ82:FL82"/>
    <mergeCell ref="FZ82:GA82"/>
    <mergeCell ref="HG82:HI82"/>
    <mergeCell ref="DW83:DY83"/>
    <mergeCell ref="EA83:EN83"/>
    <mergeCell ref="EO83:EP83"/>
    <mergeCell ref="EQ83:ER83"/>
    <mergeCell ref="ET83:FI83"/>
    <mergeCell ref="FJ83:FL83"/>
    <mergeCell ref="FN83:FY83"/>
    <mergeCell ref="FZ83:GA83"/>
    <mergeCell ref="CR84:CT84"/>
    <mergeCell ref="CU84:DG84"/>
    <mergeCell ref="DH84:DJ84"/>
    <mergeCell ref="DK84:DM84"/>
    <mergeCell ref="DN84:DP84"/>
    <mergeCell ref="DQ84:DS84"/>
    <mergeCell ref="DT84:DV84"/>
    <mergeCell ref="CR83:CT83"/>
    <mergeCell ref="CU83:DG83"/>
    <mergeCell ref="DH83:DJ83"/>
    <mergeCell ref="DK83:DM83"/>
    <mergeCell ref="DN83:DP83"/>
    <mergeCell ref="DQ83:DS83"/>
    <mergeCell ref="DT83:DV83"/>
    <mergeCell ref="DW75:DY75"/>
    <mergeCell ref="DW84:DY84"/>
    <mergeCell ref="DQ70:DS70"/>
    <mergeCell ref="DT70:DV70"/>
    <mergeCell ref="CR74:DY74"/>
    <mergeCell ref="EA74:ER74"/>
    <mergeCell ref="ET74:FL74"/>
    <mergeCell ref="FN74:HI74"/>
    <mergeCell ref="CR75:CT75"/>
    <mergeCell ref="DW70:DY70"/>
    <mergeCell ref="DZ74:DZ83"/>
    <mergeCell ref="ES74:ES83"/>
    <mergeCell ref="FM74:FM84"/>
    <mergeCell ref="HJ74:HJ85"/>
    <mergeCell ref="FZ80:GA80"/>
    <mergeCell ref="FZ84:GA84"/>
    <mergeCell ref="HG85:HI85"/>
    <mergeCell ref="EQ84:ER84"/>
    <mergeCell ref="ET84:FI84"/>
    <mergeCell ref="FJ84:FL84"/>
    <mergeCell ref="FN84:FY84"/>
    <mergeCell ref="HG83:HI83"/>
    <mergeCell ref="HG84:HI84"/>
    <mergeCell ref="DQ85:DS85"/>
    <mergeCell ref="DT85:DV85"/>
    <mergeCell ref="DW85:DY85"/>
    <mergeCell ref="FH85:FI85"/>
    <mergeCell ref="FJ85:FL85"/>
    <mergeCell ref="HE85:HF85"/>
    <mergeCell ref="FN92:HI92"/>
    <mergeCell ref="DT87:DV87"/>
    <mergeCell ref="DW87:DY87"/>
    <mergeCell ref="CR86:CT86"/>
    <mergeCell ref="CR87:CT87"/>
    <mergeCell ref="CU87:DG87"/>
    <mergeCell ref="DH87:DJ87"/>
    <mergeCell ref="DK87:DM87"/>
    <mergeCell ref="DN87:DP87"/>
    <mergeCell ref="DQ87:DS87"/>
    <mergeCell ref="EA84:EN84"/>
    <mergeCell ref="EO84:EP84"/>
    <mergeCell ref="CR85:CT85"/>
    <mergeCell ref="CU85:DG85"/>
    <mergeCell ref="DH85:DJ85"/>
    <mergeCell ref="DK85:DM85"/>
    <mergeCell ref="DN85:DP85"/>
    <mergeCell ref="CU86:DG86"/>
    <mergeCell ref="DH86:DJ86"/>
    <mergeCell ref="DK86:DM86"/>
    <mergeCell ref="DN86:DP86"/>
    <mergeCell ref="DQ86:DS86"/>
    <mergeCell ref="DT86:DV86"/>
    <mergeCell ref="DW86:DY86"/>
    <mergeCell ref="CR88:CT88"/>
    <mergeCell ref="DH88:DJ88"/>
    <mergeCell ref="DK88:DM88"/>
    <mergeCell ref="DN88:DP88"/>
    <mergeCell ref="DQ88:DS88"/>
    <mergeCell ref="DT88:DV88"/>
    <mergeCell ref="DW88:DY88"/>
    <mergeCell ref="CU93:DG93"/>
    <mergeCell ref="DH93:DJ93"/>
    <mergeCell ref="DK93:DM93"/>
    <mergeCell ref="DN93:DP93"/>
    <mergeCell ref="DQ93:DS93"/>
    <mergeCell ref="DT93:DV93"/>
    <mergeCell ref="DW93:DY93"/>
    <mergeCell ref="EA93:EN93"/>
    <mergeCell ref="EQ99:ER99"/>
    <mergeCell ref="ET99:FI99"/>
    <mergeCell ref="FJ99:FL99"/>
    <mergeCell ref="FN99:FY99"/>
    <mergeCell ref="FZ99:GA99"/>
    <mergeCell ref="HG99:HI99"/>
    <mergeCell ref="CR100:CT100"/>
    <mergeCell ref="CU100:DG100"/>
    <mergeCell ref="DH100:DJ100"/>
    <mergeCell ref="DK100:DM100"/>
    <mergeCell ref="DN100:DP100"/>
    <mergeCell ref="DQ100:DS100"/>
    <mergeCell ref="DT100:DV100"/>
    <mergeCell ref="DW100:DY100"/>
    <mergeCell ref="EA100:EN100"/>
    <mergeCell ref="EO100:EP100"/>
    <mergeCell ref="EQ100:ER100"/>
    <mergeCell ref="ET100:FI100"/>
    <mergeCell ref="FJ100:FL100"/>
    <mergeCell ref="FN100:FY100"/>
    <mergeCell ref="FZ100:GA100"/>
    <mergeCell ref="HG100:HI100"/>
    <mergeCell ref="CR101:CT101"/>
    <mergeCell ref="CU101:DG101"/>
    <mergeCell ref="DH101:DJ101"/>
    <mergeCell ref="DK101:DM101"/>
    <mergeCell ref="DN101:DP101"/>
    <mergeCell ref="DQ101:DS101"/>
    <mergeCell ref="DT101:DV101"/>
    <mergeCell ref="DW101:DY101"/>
    <mergeCell ref="EA101:EN101"/>
    <mergeCell ref="EO101:EP101"/>
    <mergeCell ref="EQ101:ER101"/>
    <mergeCell ref="ET101:FI101"/>
    <mergeCell ref="FJ101:FL101"/>
    <mergeCell ref="FN101:FY101"/>
    <mergeCell ref="FZ101:GA101"/>
    <mergeCell ref="HG101:HI101"/>
    <mergeCell ref="CR102:CT102"/>
    <mergeCell ref="CU102:DG102"/>
    <mergeCell ref="DH102:DJ102"/>
    <mergeCell ref="DK102:DM102"/>
    <mergeCell ref="FN93:FY96"/>
    <mergeCell ref="FZ93:GA96"/>
    <mergeCell ref="DH103:DJ103"/>
    <mergeCell ref="DK103:DM103"/>
    <mergeCell ref="DN103:DP103"/>
    <mergeCell ref="DQ103:DS103"/>
    <mergeCell ref="DT103:DV103"/>
    <mergeCell ref="DW103:DY103"/>
    <mergeCell ref="FH103:FI103"/>
    <mergeCell ref="FJ103:FL103"/>
    <mergeCell ref="HE103:HF103"/>
    <mergeCell ref="HG103:HI103"/>
    <mergeCell ref="CU88:DG88"/>
    <mergeCell ref="CR92:DY92"/>
    <mergeCell ref="DZ92:DZ101"/>
    <mergeCell ref="ES92:ES101"/>
    <mergeCell ref="FM92:FM102"/>
    <mergeCell ref="HJ92:HJ103"/>
    <mergeCell ref="CR93:CT93"/>
    <mergeCell ref="CR103:CT103"/>
    <mergeCell ref="CU103:DG103"/>
    <mergeCell ref="CR104:CT104"/>
    <mergeCell ref="CU104:DG104"/>
    <mergeCell ref="DH104:DJ104"/>
    <mergeCell ref="DK104:DM104"/>
    <mergeCell ref="DN104:DP104"/>
    <mergeCell ref="CU105:DG105"/>
    <mergeCell ref="DH105:DJ105"/>
    <mergeCell ref="DK105:DM105"/>
    <mergeCell ref="DN105:DP105"/>
    <mergeCell ref="DQ105:DS105"/>
    <mergeCell ref="DT105:DV105"/>
    <mergeCell ref="DW105:DY105"/>
    <mergeCell ref="DT106:DV106"/>
    <mergeCell ref="DW106:DY106"/>
    <mergeCell ref="CR105:CT105"/>
    <mergeCell ref="CR106:CT106"/>
    <mergeCell ref="CU106:DG106"/>
    <mergeCell ref="DH106:DJ106"/>
    <mergeCell ref="DK106:DM106"/>
    <mergeCell ref="DN106:DP106"/>
    <mergeCell ref="DQ106:DS106"/>
    <mergeCell ref="DN102:DP102"/>
    <mergeCell ref="DQ102:DS102"/>
    <mergeCell ref="DT102:DV102"/>
    <mergeCell ref="DW102:DY102"/>
    <mergeCell ref="EA102:EN102"/>
    <mergeCell ref="EO102:EP102"/>
    <mergeCell ref="EQ102:ER102"/>
    <mergeCell ref="ET102:FI102"/>
    <mergeCell ref="FJ102:FL102"/>
    <mergeCell ref="FN102:FY102"/>
    <mergeCell ref="FZ102:GA102"/>
    <mergeCell ref="HG102:HI102"/>
    <mergeCell ref="DQ104:DS104"/>
    <mergeCell ref="DT104:DV104"/>
    <mergeCell ref="DW104:DY104"/>
    <mergeCell ref="EA92:ER92"/>
    <mergeCell ref="ET92:FL92"/>
    <mergeCell ref="ET93:FI93"/>
    <mergeCell ref="FJ93:FL93"/>
    <mergeCell ref="ET94:FI94"/>
    <mergeCell ref="FJ94:FL94"/>
    <mergeCell ref="ET95:FI95"/>
    <mergeCell ref="FJ95:FL95"/>
    <mergeCell ref="ET96:FI96"/>
    <mergeCell ref="FJ96:FL96"/>
    <mergeCell ref="GB93:GB96"/>
    <mergeCell ref="GC93:GC96"/>
    <mergeCell ref="GD93:GD96"/>
    <mergeCell ref="GE93:GE96"/>
    <mergeCell ref="GF93:GF96"/>
    <mergeCell ref="GG93:GG96"/>
    <mergeCell ref="GH93:GH96"/>
    <mergeCell ref="GI93:GI96"/>
    <mergeCell ref="EA95:EN95"/>
    <mergeCell ref="EA96:EN96"/>
    <mergeCell ref="EO96:EP96"/>
    <mergeCell ref="EQ96:ER96"/>
    <mergeCell ref="EO93:EP93"/>
    <mergeCell ref="EQ93:ER93"/>
    <mergeCell ref="EA94:EN94"/>
    <mergeCell ref="EO94:EP94"/>
    <mergeCell ref="EQ94:ER94"/>
    <mergeCell ref="EO95:EP95"/>
    <mergeCell ref="EQ95:ER95"/>
    <mergeCell ref="GJ93:GJ96"/>
    <mergeCell ref="GK93:GK96"/>
    <mergeCell ref="GL93:GL96"/>
    <mergeCell ref="GM93:GM96"/>
    <mergeCell ref="GN93:GN96"/>
    <mergeCell ref="GO93:GO96"/>
    <mergeCell ref="GP93:GP96"/>
    <mergeCell ref="GQ93:GQ96"/>
    <mergeCell ref="GR93:GR96"/>
    <mergeCell ref="GS93:GS96"/>
    <mergeCell ref="GT93:GT96"/>
    <mergeCell ref="GU93:GU96"/>
    <mergeCell ref="GV93:GV96"/>
    <mergeCell ref="GW93:GW96"/>
    <mergeCell ref="GX93:GX96"/>
    <mergeCell ref="GY93:GY96"/>
    <mergeCell ref="GZ93:GZ96"/>
    <mergeCell ref="HA93:HA96"/>
    <mergeCell ref="HB93:HB96"/>
    <mergeCell ref="HC93:HC96"/>
    <mergeCell ref="HD93:HD96"/>
    <mergeCell ref="HE93:HE96"/>
    <mergeCell ref="HF93:HF96"/>
    <mergeCell ref="HG93:HI96"/>
    <mergeCell ref="CR94:CT94"/>
    <mergeCell ref="CU94:DG94"/>
    <mergeCell ref="DH94:DJ94"/>
    <mergeCell ref="DK94:DM94"/>
    <mergeCell ref="DH96:DJ96"/>
    <mergeCell ref="DK96:DM96"/>
    <mergeCell ref="DN96:DP96"/>
    <mergeCell ref="DQ96:DS96"/>
    <mergeCell ref="DT96:DV96"/>
    <mergeCell ref="DW96:DY96"/>
    <mergeCell ref="DN94:DP94"/>
    <mergeCell ref="DQ94:DS94"/>
    <mergeCell ref="DT94:DV94"/>
    <mergeCell ref="DW94:DY94"/>
    <mergeCell ref="CR95:CT95"/>
    <mergeCell ref="CU95:DG95"/>
    <mergeCell ref="DH95:DJ95"/>
    <mergeCell ref="DK95:DM95"/>
    <mergeCell ref="DN95:DP95"/>
    <mergeCell ref="DQ95:DS95"/>
    <mergeCell ref="DT95:DV95"/>
    <mergeCell ref="DW95:DY95"/>
    <mergeCell ref="CR96:CT96"/>
    <mergeCell ref="CU96:DG96"/>
    <mergeCell ref="CR97:CT97"/>
    <mergeCell ref="CU97:DG97"/>
    <mergeCell ref="DH97:DJ97"/>
    <mergeCell ref="DK97:DM97"/>
    <mergeCell ref="DN97:DP97"/>
    <mergeCell ref="DQ97:DS97"/>
    <mergeCell ref="DT97:DV97"/>
    <mergeCell ref="DW97:DY97"/>
    <mergeCell ref="EA97:EN97"/>
    <mergeCell ref="EO97:EP97"/>
    <mergeCell ref="EQ97:ER97"/>
    <mergeCell ref="ET97:FI97"/>
    <mergeCell ref="FJ97:FL97"/>
    <mergeCell ref="FN97:FY97"/>
    <mergeCell ref="FZ97:GA97"/>
    <mergeCell ref="HG97:HI97"/>
    <mergeCell ref="CR98:CT98"/>
    <mergeCell ref="CU98:DG98"/>
    <mergeCell ref="DH98:DJ98"/>
    <mergeCell ref="DK98:DM98"/>
    <mergeCell ref="DN98:DP98"/>
    <mergeCell ref="DQ98:DS98"/>
    <mergeCell ref="DT98:DV98"/>
    <mergeCell ref="DW98:DY98"/>
    <mergeCell ref="EA98:EN98"/>
    <mergeCell ref="EO98:EP98"/>
    <mergeCell ref="EQ98:ER98"/>
    <mergeCell ref="ET98:FI98"/>
    <mergeCell ref="FJ98:FL98"/>
    <mergeCell ref="FN98:FY98"/>
    <mergeCell ref="FZ98:GA98"/>
    <mergeCell ref="HG98:HI98"/>
    <mergeCell ref="CR99:CT99"/>
    <mergeCell ref="CU99:DG99"/>
    <mergeCell ref="DH99:DJ99"/>
    <mergeCell ref="DK99:DM99"/>
    <mergeCell ref="DN99:DP99"/>
    <mergeCell ref="DQ99:DS99"/>
    <mergeCell ref="DT99:DV99"/>
    <mergeCell ref="DW99:DY99"/>
    <mergeCell ref="EA99:EN99"/>
    <mergeCell ref="EO99:EP99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T2:AW3"/>
    <mergeCell ref="AT4:AW4"/>
    <mergeCell ref="AX2:AZ3"/>
    <mergeCell ref="BA2:BC3"/>
    <mergeCell ref="AX4:AZ4"/>
    <mergeCell ref="BA4:BC4"/>
    <mergeCell ref="BD2:BF3"/>
    <mergeCell ref="BG2:BI3"/>
    <mergeCell ref="BD4:BF4"/>
    <mergeCell ref="BG4:BI4"/>
    <mergeCell ref="BJ2:BL3"/>
    <mergeCell ref="BM2:BO3"/>
    <mergeCell ref="BJ4:BL4"/>
    <mergeCell ref="BM4:BO4"/>
    <mergeCell ref="BP2:BR3"/>
    <mergeCell ref="BS2:BU3"/>
    <mergeCell ref="BP4:BR4"/>
    <mergeCell ref="BS4:BU4"/>
    <mergeCell ref="BV2:BX3"/>
    <mergeCell ref="BY2:CA3"/>
    <mergeCell ref="BV4:BX4"/>
    <mergeCell ref="BY4:CA4"/>
    <mergeCell ref="CB2:CD3"/>
    <mergeCell ref="CE2:CG3"/>
    <mergeCell ref="CH2:CJ3"/>
    <mergeCell ref="CK2:CM3"/>
    <mergeCell ref="CN2:CP3"/>
    <mergeCell ref="CR2:CT2"/>
    <mergeCell ref="CR3:CT3"/>
    <mergeCell ref="CU2:DG2"/>
    <mergeCell ref="DH2:DJ2"/>
    <mergeCell ref="CU3:DG3"/>
    <mergeCell ref="DH3:DJ3"/>
    <mergeCell ref="DK2:DM2"/>
    <mergeCell ref="DN2:DP2"/>
    <mergeCell ref="DK3:DM3"/>
    <mergeCell ref="DN3:DP3"/>
    <mergeCell ref="DQ2:DS2"/>
    <mergeCell ref="DT2:DV2"/>
    <mergeCell ref="DQ3:DS3"/>
    <mergeCell ref="DT3:DV3"/>
    <mergeCell ref="DW3:DY3"/>
    <mergeCell ref="DW2:DY2"/>
    <mergeCell ref="EA2:EN2"/>
    <mergeCell ref="EA3:EN3"/>
    <mergeCell ref="GJ2:GJ5"/>
    <mergeCell ref="GK2:GK5"/>
    <mergeCell ref="GL2:GL5"/>
    <mergeCell ref="GM2:GM5"/>
    <mergeCell ref="GN2:GN5"/>
    <mergeCell ref="GO2:GO5"/>
    <mergeCell ref="GP2:GP5"/>
    <mergeCell ref="GQ2:GQ5"/>
    <mergeCell ref="GR2:GR5"/>
    <mergeCell ref="GS2:GS5"/>
    <mergeCell ref="GT2:GT5"/>
    <mergeCell ref="GU2:GU5"/>
    <mergeCell ref="GV2:GV5"/>
    <mergeCell ref="GW2:GW5"/>
    <mergeCell ref="CR4:CT4"/>
    <mergeCell ref="CU4:DG4"/>
    <mergeCell ref="EO2:EP2"/>
    <mergeCell ref="EQ2:ER2"/>
    <mergeCell ref="EO3:EP3"/>
    <mergeCell ref="EQ3:ER3"/>
    <mergeCell ref="CB4:CD4"/>
    <mergeCell ref="CE4:CG4"/>
    <mergeCell ref="CH4:CJ4"/>
    <mergeCell ref="D2:L5"/>
    <mergeCell ref="M2:M5"/>
    <mergeCell ref="ET2:FI2"/>
    <mergeCell ref="FJ2:FL2"/>
    <mergeCell ref="ET3:FI3"/>
    <mergeCell ref="FJ3:FL3"/>
    <mergeCell ref="GB2:GB5"/>
    <mergeCell ref="GC2:GC5"/>
    <mergeCell ref="GD2:GD5"/>
    <mergeCell ref="GE2:GE5"/>
    <mergeCell ref="GF2:GF5"/>
    <mergeCell ref="GG2:GG5"/>
    <mergeCell ref="GH2:GH5"/>
    <mergeCell ref="GI2:GI5"/>
    <mergeCell ref="CK4:CM4"/>
    <mergeCell ref="CN4:CP4"/>
    <mergeCell ref="GX2:GX5"/>
    <mergeCell ref="GY2:GY5"/>
    <mergeCell ref="GZ2:GZ5"/>
    <mergeCell ref="HA2:HA5"/>
    <mergeCell ref="HB2:HB5"/>
    <mergeCell ref="HC2:HC5"/>
    <mergeCell ref="HD2:HD5"/>
    <mergeCell ref="HE2:HE5"/>
    <mergeCell ref="HF2:HF5"/>
    <mergeCell ref="HG2:HI5"/>
    <mergeCell ref="DH4:DJ4"/>
    <mergeCell ref="DK4:DM4"/>
    <mergeCell ref="DH5:DJ5"/>
    <mergeCell ref="DK5:DM5"/>
    <mergeCell ref="EO5:EP5"/>
    <mergeCell ref="EQ5:ER5"/>
    <mergeCell ref="ET5:FI5"/>
    <mergeCell ref="FJ5:FL5"/>
    <mergeCell ref="DN4:DP4"/>
    <mergeCell ref="DQ4:DS4"/>
    <mergeCell ref="DN5:DP5"/>
    <mergeCell ref="DQ5:DS5"/>
    <mergeCell ref="DT5:DV5"/>
    <mergeCell ref="DW5:DY5"/>
    <mergeCell ref="EA5:EN5"/>
    <mergeCell ref="CH5:CJ5"/>
    <mergeCell ref="CK5:CM5"/>
    <mergeCell ref="CH6:CJ6"/>
    <mergeCell ref="CK6:CM6"/>
    <mergeCell ref="CN6:CP6"/>
    <mergeCell ref="CN5:CP5"/>
    <mergeCell ref="CR5:CT5"/>
    <mergeCell ref="CR6:CT6"/>
    <mergeCell ref="CU6:DG6"/>
    <mergeCell ref="DH6:DJ6"/>
    <mergeCell ref="DK6:DM6"/>
    <mergeCell ref="DN6:DP6"/>
    <mergeCell ref="BP5:BR5"/>
    <mergeCell ref="BS5:BU5"/>
    <mergeCell ref="BJ6:BL6"/>
    <mergeCell ref="BM6:BO6"/>
    <mergeCell ref="BP6:BR6"/>
    <mergeCell ref="BS6:BU6"/>
    <mergeCell ref="D1:AR1"/>
    <mergeCell ref="AT5:AW5"/>
    <mergeCell ref="AT6:AV6"/>
    <mergeCell ref="AX6:AZ6"/>
    <mergeCell ref="BA6:BC6"/>
    <mergeCell ref="BD6:BF6"/>
    <mergeCell ref="BG6:BI6"/>
    <mergeCell ref="CK7:CM7"/>
    <mergeCell ref="CN7:CP7"/>
    <mergeCell ref="BP7:BR7"/>
    <mergeCell ref="BS7:BU7"/>
    <mergeCell ref="BV7:BX7"/>
    <mergeCell ref="BY7:CA7"/>
    <mergeCell ref="CB7:CD7"/>
    <mergeCell ref="CE7:CG7"/>
    <mergeCell ref="CH7:CJ7"/>
    <mergeCell ref="DW7:DY7"/>
    <mergeCell ref="EA7:EN7"/>
    <mergeCell ref="CR7:CT7"/>
    <mergeCell ref="CU7:DG7"/>
    <mergeCell ref="DH7:DJ7"/>
    <mergeCell ref="DK7:DM7"/>
    <mergeCell ref="DN7:DP7"/>
    <mergeCell ref="DQ7:DS7"/>
    <mergeCell ref="DT7:DV7"/>
    <mergeCell ref="AX7:AZ7"/>
    <mergeCell ref="AX8:AZ8"/>
    <mergeCell ref="BA8:BC8"/>
    <mergeCell ref="BD8:BF8"/>
    <mergeCell ref="BG8:BI8"/>
    <mergeCell ref="BJ8:BL8"/>
    <mergeCell ref="AT7:AW7"/>
    <mergeCell ref="BA7:BC7"/>
    <mergeCell ref="BD7:BF7"/>
    <mergeCell ref="BG7:BI7"/>
    <mergeCell ref="BJ7:BL7"/>
    <mergeCell ref="BM7:BO7"/>
    <mergeCell ref="AT8:AV8"/>
    <mergeCell ref="BM8:BO8"/>
    <mergeCell ref="DQ8:DS8"/>
    <mergeCell ref="DT8:DV8"/>
    <mergeCell ref="CK8:CM8"/>
    <mergeCell ref="CN8:CP8"/>
    <mergeCell ref="CR8:CT8"/>
    <mergeCell ref="CU8:DG8"/>
    <mergeCell ref="DH8:DJ8"/>
    <mergeCell ref="DK8:DM8"/>
    <mergeCell ref="DN8:DP8"/>
    <mergeCell ref="FZ8:GA8"/>
    <mergeCell ref="HG8:HI8"/>
    <mergeCell ref="DW8:DY8"/>
    <mergeCell ref="EA8:EN8"/>
    <mergeCell ref="EO8:EP8"/>
    <mergeCell ref="EQ8:ER8"/>
    <mergeCell ref="ET8:FI8"/>
    <mergeCell ref="FJ8:FL8"/>
    <mergeCell ref="FN8:FY8"/>
    <mergeCell ref="BM9:BO9"/>
    <mergeCell ref="BP9:BR9"/>
    <mergeCell ref="BP8:BR8"/>
    <mergeCell ref="AT9:AW9"/>
    <mergeCell ref="AX9:AZ9"/>
    <mergeCell ref="BA9:BC9"/>
    <mergeCell ref="BD9:BF9"/>
    <mergeCell ref="BG9:BI9"/>
    <mergeCell ref="BJ9:BL9"/>
    <mergeCell ref="CN9:CP9"/>
    <mergeCell ref="CR9:CT9"/>
    <mergeCell ref="BS9:BU9"/>
    <mergeCell ref="BV9:BX9"/>
    <mergeCell ref="BY9:CA9"/>
    <mergeCell ref="CB9:CD9"/>
    <mergeCell ref="CE9:CG9"/>
    <mergeCell ref="CH9:CJ9"/>
    <mergeCell ref="CK9:CM9"/>
    <mergeCell ref="EA9:EN9"/>
    <mergeCell ref="EO9:EP9"/>
    <mergeCell ref="CU9:DG9"/>
    <mergeCell ref="DH9:DJ9"/>
    <mergeCell ref="DK9:DM9"/>
    <mergeCell ref="DN9:DP9"/>
    <mergeCell ref="DQ9:DS9"/>
    <mergeCell ref="DT9:DV9"/>
    <mergeCell ref="DW9:DY9"/>
    <mergeCell ref="BV5:BX5"/>
    <mergeCell ref="BY5:CA5"/>
    <mergeCell ref="BV6:BX6"/>
    <mergeCell ref="BY6:CA6"/>
    <mergeCell ref="BS8:BU8"/>
    <mergeCell ref="BV8:BX8"/>
    <mergeCell ref="BY8:CA8"/>
    <mergeCell ref="CB5:CD5"/>
    <mergeCell ref="CE5:CG5"/>
    <mergeCell ref="CB6:CD6"/>
    <mergeCell ref="CE6:CG6"/>
    <mergeCell ref="CB8:CD8"/>
    <mergeCell ref="CE8:CG8"/>
    <mergeCell ref="CH8:CJ8"/>
    <mergeCell ref="AT10:CP10"/>
    <mergeCell ref="CR10:CT10"/>
    <mergeCell ref="CU10:DG10"/>
    <mergeCell ref="DH10:DJ10"/>
    <mergeCell ref="DK10:DM10"/>
    <mergeCell ref="DN10:DP10"/>
    <mergeCell ref="DQ10:DS10"/>
    <mergeCell ref="DT10:DV10"/>
    <mergeCell ref="DW10:DY10"/>
    <mergeCell ref="EA10:EN10"/>
    <mergeCell ref="EO10:EP10"/>
    <mergeCell ref="EQ10:ER10"/>
    <mergeCell ref="ET10:FI10"/>
    <mergeCell ref="FJ10:FL10"/>
    <mergeCell ref="BM11:BO12"/>
    <mergeCell ref="BP11:BR12"/>
    <mergeCell ref="FN10:FY10"/>
    <mergeCell ref="FZ10:GA10"/>
    <mergeCell ref="HG10:HI10"/>
    <mergeCell ref="AT11:AW12"/>
    <mergeCell ref="AX11:AZ12"/>
    <mergeCell ref="BA11:BC12"/>
    <mergeCell ref="BD11:BF12"/>
    <mergeCell ref="FN2:FY5"/>
    <mergeCell ref="FZ2:GA5"/>
    <mergeCell ref="DT4:DV4"/>
    <mergeCell ref="DW4:DY4"/>
    <mergeCell ref="EA4:EN4"/>
    <mergeCell ref="EO4:EP4"/>
    <mergeCell ref="EQ4:ER4"/>
    <mergeCell ref="ET4:FI4"/>
    <mergeCell ref="AX5:AZ5"/>
    <mergeCell ref="BA5:BC5"/>
    <mergeCell ref="BD5:BF5"/>
    <mergeCell ref="BG5:BI5"/>
    <mergeCell ref="BJ5:BL5"/>
    <mergeCell ref="BM5:BO5"/>
    <mergeCell ref="BS14:BU14"/>
    <mergeCell ref="BV14:BX14"/>
    <mergeCell ref="BY14:CA14"/>
    <mergeCell ref="CB14:CD14"/>
    <mergeCell ref="CB13:CD13"/>
    <mergeCell ref="BA14:BC14"/>
    <mergeCell ref="BD14:BF14"/>
    <mergeCell ref="BG14:BI14"/>
    <mergeCell ref="BJ14:BL14"/>
    <mergeCell ref="BM14:BO14"/>
    <mergeCell ref="BP14:BR14"/>
    <mergeCell ref="CE13:CG13"/>
    <mergeCell ref="CH13:CJ13"/>
    <mergeCell ref="CK13:CM13"/>
    <mergeCell ref="CN13:CP13"/>
    <mergeCell ref="CR13:CT13"/>
    <mergeCell ref="CU13:DG13"/>
    <mergeCell ref="DH13:DJ13"/>
    <mergeCell ref="CE14:CG14"/>
    <mergeCell ref="CH14:CJ14"/>
    <mergeCell ref="CK14:CM14"/>
    <mergeCell ref="CN14:CP14"/>
    <mergeCell ref="CR14:CT14"/>
    <mergeCell ref="CU14:DG14"/>
    <mergeCell ref="DH14:DJ14"/>
    <mergeCell ref="AT1:CP1"/>
    <mergeCell ref="CR1:DY1"/>
    <mergeCell ref="EA1:ER1"/>
    <mergeCell ref="ET1:FL1"/>
    <mergeCell ref="FN1:HI1"/>
    <mergeCell ref="FJ4:FL4"/>
    <mergeCell ref="CU5:DG5"/>
    <mergeCell ref="FJ6:FL6"/>
    <mergeCell ref="FN6:FY6"/>
    <mergeCell ref="FZ6:GA6"/>
    <mergeCell ref="HG6:HI6"/>
    <mergeCell ref="EO7:EP7"/>
    <mergeCell ref="EQ7:ER7"/>
    <mergeCell ref="ET7:FI7"/>
    <mergeCell ref="FJ7:FL7"/>
    <mergeCell ref="FN7:FY7"/>
    <mergeCell ref="FZ7:GA7"/>
    <mergeCell ref="HG7:HI7"/>
    <mergeCell ref="EQ9:ER9"/>
    <mergeCell ref="ET9:FI9"/>
    <mergeCell ref="FJ9:FL9"/>
    <mergeCell ref="FN9:FY9"/>
    <mergeCell ref="FZ9:GA9"/>
    <mergeCell ref="HG9:HI9"/>
    <mergeCell ref="DQ6:DS6"/>
    <mergeCell ref="DT6:DV6"/>
    <mergeCell ref="DW6:DY6"/>
    <mergeCell ref="EA6:EN6"/>
    <mergeCell ref="EO6:EP6"/>
    <mergeCell ref="EQ6:ER6"/>
    <mergeCell ref="ET6:FI6"/>
    <mergeCell ref="A2:B15"/>
    <mergeCell ref="D6:M6"/>
    <mergeCell ref="D7:M7"/>
    <mergeCell ref="D8:M8"/>
    <mergeCell ref="D9:M9"/>
    <mergeCell ref="D10:M10"/>
    <mergeCell ref="D11:M11"/>
    <mergeCell ref="CR15:CT15"/>
    <mergeCell ref="CU15:DG15"/>
    <mergeCell ref="DH15:DJ15"/>
    <mergeCell ref="AN12:AN15"/>
    <mergeCell ref="AO12:AO15"/>
    <mergeCell ref="AP12:AP15"/>
    <mergeCell ref="AQ12:AQ15"/>
    <mergeCell ref="AR12:AR15"/>
    <mergeCell ref="AT13:AW13"/>
    <mergeCell ref="AT14:AV14"/>
    <mergeCell ref="AX13:AZ13"/>
    <mergeCell ref="AX14:AZ14"/>
    <mergeCell ref="AT20:AW21"/>
    <mergeCell ref="AX20:AZ21"/>
    <mergeCell ref="BA20:BC21"/>
    <mergeCell ref="BD20:BF21"/>
    <mergeCell ref="BG20:BI21"/>
    <mergeCell ref="BJ20:BL21"/>
    <mergeCell ref="BM20:BO21"/>
    <mergeCell ref="BP20:BR21"/>
    <mergeCell ref="BS20:BU21"/>
    <mergeCell ref="BV20:BX21"/>
    <mergeCell ref="BY20:CA21"/>
    <mergeCell ref="CB20:CD21"/>
    <mergeCell ref="DK20:DM20"/>
    <mergeCell ref="DN20:DP20"/>
    <mergeCell ref="DQ20:DS20"/>
    <mergeCell ref="DT20:DV20"/>
    <mergeCell ref="DW20:DY20"/>
    <mergeCell ref="EA20:EN20"/>
    <mergeCell ref="EO20:EP20"/>
    <mergeCell ref="EQ20:ER20"/>
    <mergeCell ref="CE20:CG21"/>
    <mergeCell ref="CH20:CJ21"/>
    <mergeCell ref="CK20:CM21"/>
    <mergeCell ref="CN20:CP21"/>
    <mergeCell ref="CR20:CT20"/>
    <mergeCell ref="CU20:DG20"/>
    <mergeCell ref="DH20:DJ20"/>
    <mergeCell ref="EO21:EP21"/>
    <mergeCell ref="EQ21:ER21"/>
    <mergeCell ref="DH21:DJ21"/>
    <mergeCell ref="DK21:DM21"/>
    <mergeCell ref="DN21:DP21"/>
    <mergeCell ref="DQ21:DS21"/>
    <mergeCell ref="DT21:DV21"/>
    <mergeCell ref="DW21:DY21"/>
    <mergeCell ref="EA21:EN21"/>
    <mergeCell ref="DQ22:DS22"/>
    <mergeCell ref="DT22:DV22"/>
    <mergeCell ref="CK22:CM22"/>
    <mergeCell ref="CN22:CP22"/>
    <mergeCell ref="CR22:CT22"/>
    <mergeCell ref="CU22:DG22"/>
    <mergeCell ref="DH22:DJ22"/>
    <mergeCell ref="DK22:DM22"/>
    <mergeCell ref="DN22:DP22"/>
    <mergeCell ref="CN23:CP23"/>
    <mergeCell ref="CR23:CT23"/>
    <mergeCell ref="ET22:FI22"/>
    <mergeCell ref="ET23:FI23"/>
    <mergeCell ref="DW22:DY22"/>
    <mergeCell ref="EA22:EN22"/>
    <mergeCell ref="EO22:EP22"/>
    <mergeCell ref="EQ22:ER22"/>
    <mergeCell ref="FJ22:FL22"/>
    <mergeCell ref="AT23:AW23"/>
    <mergeCell ref="EQ23:ER23"/>
    <mergeCell ref="FJ23:FL23"/>
    <mergeCell ref="AX23:AZ23"/>
    <mergeCell ref="BA23:BC23"/>
    <mergeCell ref="BD23:BF23"/>
    <mergeCell ref="BG23:BI23"/>
    <mergeCell ref="BJ23:BL23"/>
    <mergeCell ref="BM23:BO23"/>
    <mergeCell ref="BP23:BR23"/>
    <mergeCell ref="BS23:BU23"/>
    <mergeCell ref="BV23:BX23"/>
    <mergeCell ref="BY23:CA23"/>
    <mergeCell ref="CB23:CD23"/>
    <mergeCell ref="CE23:CG23"/>
    <mergeCell ref="CH23:CJ23"/>
    <mergeCell ref="CK23:CM23"/>
    <mergeCell ref="EA23:EN23"/>
    <mergeCell ref="EO23:EP23"/>
    <mergeCell ref="CU23:DG23"/>
    <mergeCell ref="DH23:DJ23"/>
    <mergeCell ref="DK23:DM23"/>
    <mergeCell ref="DN23:DP23"/>
    <mergeCell ref="DQ23:DS23"/>
    <mergeCell ref="DT23:DV23"/>
    <mergeCell ref="DW23:DY23"/>
    <mergeCell ref="GG20:GG23"/>
    <mergeCell ref="GH20:GH23"/>
    <mergeCell ref="GI20:GI23"/>
    <mergeCell ref="GJ20:GJ23"/>
    <mergeCell ref="GK20:GK23"/>
    <mergeCell ref="GL20:GL23"/>
    <mergeCell ref="GM20:GM23"/>
    <mergeCell ref="GN20:GN23"/>
    <mergeCell ref="GO20:GO23"/>
    <mergeCell ref="GP20:GP23"/>
    <mergeCell ref="GQ20:GQ23"/>
    <mergeCell ref="GR20:GR23"/>
    <mergeCell ref="GS20:GS23"/>
    <mergeCell ref="GT20:GT23"/>
    <mergeCell ref="HB20:HB23"/>
    <mergeCell ref="HC20:HC23"/>
    <mergeCell ref="HD20:HD23"/>
    <mergeCell ref="HE20:HE23"/>
    <mergeCell ref="HF20:HF23"/>
    <mergeCell ref="HG20:HI23"/>
    <mergeCell ref="GU20:GU23"/>
    <mergeCell ref="GV20:GV23"/>
    <mergeCell ref="GW20:GW23"/>
    <mergeCell ref="GX20:GX23"/>
    <mergeCell ref="GY20:GY23"/>
    <mergeCell ref="GZ20:GZ23"/>
    <mergeCell ref="HA20:HA23"/>
    <mergeCell ref="BA13:BC13"/>
    <mergeCell ref="BD13:BF13"/>
    <mergeCell ref="BG13:BI13"/>
    <mergeCell ref="BJ13:BL13"/>
    <mergeCell ref="BM13:BO13"/>
    <mergeCell ref="BP13:BR13"/>
    <mergeCell ref="BS13:BU13"/>
    <mergeCell ref="FN20:FY23"/>
    <mergeCell ref="FZ20:GA23"/>
    <mergeCell ref="GB20:GB23"/>
    <mergeCell ref="GC20:GC23"/>
    <mergeCell ref="GD20:GD23"/>
    <mergeCell ref="GE20:GE23"/>
    <mergeCell ref="GF20:GF23"/>
    <mergeCell ref="BV13:BX13"/>
    <mergeCell ref="BY13:CA13"/>
    <mergeCell ref="BV22:BX22"/>
    <mergeCell ref="BY22:CA22"/>
    <mergeCell ref="CB22:CD22"/>
    <mergeCell ref="CE22:CG22"/>
    <mergeCell ref="CH22:CJ22"/>
    <mergeCell ref="DW39:DY39"/>
    <mergeCell ref="EA39:EN39"/>
    <mergeCell ref="ET39:FI39"/>
    <mergeCell ref="FJ39:FL39"/>
    <mergeCell ref="GB39:GB42"/>
    <mergeCell ref="GC39:GC42"/>
    <mergeCell ref="GD39:GD42"/>
    <mergeCell ref="GE39:GE42"/>
    <mergeCell ref="GF39:GF42"/>
    <mergeCell ref="GG39:GG42"/>
    <mergeCell ref="GH39:GH42"/>
    <mergeCell ref="GI39:GI42"/>
    <mergeCell ref="GJ39:GJ42"/>
    <mergeCell ref="GK39:GK42"/>
    <mergeCell ref="CH43:CJ43"/>
    <mergeCell ref="CK43:CM43"/>
    <mergeCell ref="CN43:CP43"/>
    <mergeCell ref="CR43:CT43"/>
    <mergeCell ref="CU43:DG43"/>
    <mergeCell ref="DH43:DJ43"/>
    <mergeCell ref="DK43:DM43"/>
    <mergeCell ref="DN43:DP43"/>
    <mergeCell ref="DQ43:DS43"/>
    <mergeCell ref="DT43:DV43"/>
    <mergeCell ref="DW43:DY43"/>
    <mergeCell ref="EA43:EN43"/>
    <mergeCell ref="EO43:EP43"/>
    <mergeCell ref="EQ43:ER43"/>
    <mergeCell ref="ET43:FI43"/>
    <mergeCell ref="FJ43:FL43"/>
    <mergeCell ref="FN43:FY43"/>
    <mergeCell ref="FZ43:GA43"/>
    <mergeCell ref="CK39:CM40"/>
    <mergeCell ref="CH44:CJ44"/>
    <mergeCell ref="CK44:CM44"/>
    <mergeCell ref="CN44:CP44"/>
    <mergeCell ref="CR44:CT44"/>
    <mergeCell ref="CU44:DG44"/>
    <mergeCell ref="DH44:DJ44"/>
    <mergeCell ref="DK44:DM44"/>
    <mergeCell ref="DN44:DP44"/>
    <mergeCell ref="DQ44:DS44"/>
    <mergeCell ref="DT44:DV44"/>
    <mergeCell ref="FN39:FY42"/>
    <mergeCell ref="FZ39:GA42"/>
    <mergeCell ref="DZ38:DZ47"/>
    <mergeCell ref="EA47:EN47"/>
    <mergeCell ref="EO47:EP47"/>
    <mergeCell ref="EQ47:ER47"/>
    <mergeCell ref="EA48:EN48"/>
    <mergeCell ref="EO48:EP48"/>
    <mergeCell ref="EQ48:ER48"/>
    <mergeCell ref="ET47:FI47"/>
    <mergeCell ref="FJ47:FL47"/>
    <mergeCell ref="FN47:FY47"/>
    <mergeCell ref="FZ47:GA47"/>
    <mergeCell ref="HG47:HI47"/>
    <mergeCell ref="ET48:FI48"/>
    <mergeCell ref="FJ48:FL48"/>
    <mergeCell ref="FN48:FY48"/>
    <mergeCell ref="FZ48:GA48"/>
    <mergeCell ref="HG48:HI48"/>
    <mergeCell ref="FH49:FI49"/>
    <mergeCell ref="FJ49:FL49"/>
    <mergeCell ref="HE49:HF49"/>
    <mergeCell ref="HG49:HI49"/>
    <mergeCell ref="FN56:HI56"/>
    <mergeCell ref="ES38:ES47"/>
    <mergeCell ref="FM38:FM48"/>
    <mergeCell ref="HJ38:HJ49"/>
    <mergeCell ref="HG43:HI43"/>
    <mergeCell ref="HG44:HI44"/>
    <mergeCell ref="HG45:HI45"/>
    <mergeCell ref="HG46:HI46"/>
    <mergeCell ref="FN46:FY46"/>
    <mergeCell ref="FZ46:GA46"/>
    <mergeCell ref="DT46:DV46"/>
    <mergeCell ref="DW46:DY46"/>
    <mergeCell ref="EA46:EN46"/>
    <mergeCell ref="EO46:EP46"/>
    <mergeCell ref="EQ46:ER46"/>
    <mergeCell ref="ET46:FI46"/>
    <mergeCell ref="FJ46:FL46"/>
    <mergeCell ref="DW44:DY44"/>
    <mergeCell ref="EA44:EN44"/>
    <mergeCell ref="EO44:EP44"/>
    <mergeCell ref="EQ44:ER44"/>
    <mergeCell ref="ET44:FI44"/>
    <mergeCell ref="FJ44:FL44"/>
    <mergeCell ref="FN44:FY44"/>
    <mergeCell ref="FZ44:GA44"/>
    <mergeCell ref="CK31:CM31"/>
    <mergeCell ref="CH45:CJ45"/>
    <mergeCell ref="CK45:CM45"/>
    <mergeCell ref="CH46:CJ46"/>
    <mergeCell ref="CK46:CM46"/>
    <mergeCell ref="CN45:CP45"/>
    <mergeCell ref="CR45:CT45"/>
    <mergeCell ref="CR46:CT46"/>
    <mergeCell ref="CU45:DG45"/>
    <mergeCell ref="DH45:DJ45"/>
    <mergeCell ref="CU46:DG46"/>
    <mergeCell ref="DH46:DJ46"/>
    <mergeCell ref="DK46:DM46"/>
    <mergeCell ref="DN46:DP46"/>
    <mergeCell ref="DQ46:DS46"/>
    <mergeCell ref="DK45:DM45"/>
    <mergeCell ref="DN45:DP45"/>
    <mergeCell ref="CR47:CT47"/>
    <mergeCell ref="CU47:DG47"/>
    <mergeCell ref="DH47:DJ47"/>
    <mergeCell ref="DK47:DM47"/>
    <mergeCell ref="DN47:DP47"/>
    <mergeCell ref="CU48:DG48"/>
    <mergeCell ref="DH48:DJ48"/>
    <mergeCell ref="DK48:DM48"/>
    <mergeCell ref="DN48:DP48"/>
    <mergeCell ref="DQ48:DS48"/>
    <mergeCell ref="DT48:DV48"/>
    <mergeCell ref="DW48:DY48"/>
    <mergeCell ref="DT49:DV49"/>
    <mergeCell ref="DW49:DY49"/>
    <mergeCell ref="CR48:CT48"/>
    <mergeCell ref="CR49:CT49"/>
    <mergeCell ref="CU49:DG49"/>
    <mergeCell ref="DH49:DJ49"/>
    <mergeCell ref="DK49:DM49"/>
    <mergeCell ref="DN49:DP49"/>
    <mergeCell ref="DQ49:DS49"/>
    <mergeCell ref="CU51:DG51"/>
    <mergeCell ref="DH51:DJ51"/>
    <mergeCell ref="DK51:DM51"/>
    <mergeCell ref="DN51:DP51"/>
    <mergeCell ref="DQ51:DS51"/>
    <mergeCell ref="DT51:DV51"/>
    <mergeCell ref="DW51:DY51"/>
    <mergeCell ref="CU50:DG50"/>
    <mergeCell ref="DH50:DJ50"/>
    <mergeCell ref="DK50:DM50"/>
    <mergeCell ref="DN50:DP50"/>
    <mergeCell ref="DQ50:DS50"/>
    <mergeCell ref="DT50:DV50"/>
    <mergeCell ref="DW50:DY50"/>
    <mergeCell ref="DQ45:DS45"/>
    <mergeCell ref="DT45:DV45"/>
    <mergeCell ref="DW45:DY45"/>
    <mergeCell ref="EA45:EN45"/>
    <mergeCell ref="EO45:EP45"/>
    <mergeCell ref="EQ45:ER45"/>
    <mergeCell ref="ET45:FI45"/>
    <mergeCell ref="FJ45:FL45"/>
    <mergeCell ref="FN45:FY45"/>
    <mergeCell ref="FZ45:GA45"/>
    <mergeCell ref="CN31:CP31"/>
    <mergeCell ref="CN46:CP46"/>
    <mergeCell ref="DQ47:DS47"/>
    <mergeCell ref="DT47:DV47"/>
    <mergeCell ref="DW47:DY47"/>
    <mergeCell ref="BG45:BI45"/>
    <mergeCell ref="BJ45:BL45"/>
    <mergeCell ref="AT67:AW68"/>
    <mergeCell ref="AX67:AZ68"/>
    <mergeCell ref="BA67:BC68"/>
    <mergeCell ref="BD67:BF68"/>
    <mergeCell ref="BG67:BI68"/>
    <mergeCell ref="CK69:CM69"/>
    <mergeCell ref="CN69:CP69"/>
    <mergeCell ref="CN70:CP70"/>
    <mergeCell ref="BP69:BR69"/>
    <mergeCell ref="BS69:BU69"/>
    <mergeCell ref="BV69:BX69"/>
    <mergeCell ref="BY69:CA69"/>
    <mergeCell ref="CB69:CD69"/>
    <mergeCell ref="CE69:CG69"/>
    <mergeCell ref="CH69:CJ69"/>
    <mergeCell ref="AX69:AZ69"/>
    <mergeCell ref="AX70:AZ70"/>
    <mergeCell ref="BA70:BC70"/>
    <mergeCell ref="BD70:BF70"/>
    <mergeCell ref="BG70:BI70"/>
    <mergeCell ref="BJ70:BL70"/>
    <mergeCell ref="AT69:AW69"/>
    <mergeCell ref="BA69:BC69"/>
    <mergeCell ref="BD69:BF69"/>
    <mergeCell ref="BG69:BI69"/>
    <mergeCell ref="BJ69:BL69"/>
    <mergeCell ref="BM69:BO69"/>
    <mergeCell ref="AT70:AV70"/>
    <mergeCell ref="AT44:AW44"/>
    <mergeCell ref="BA44:BC44"/>
    <mergeCell ref="BD44:BF44"/>
    <mergeCell ref="BG44:BI44"/>
    <mergeCell ref="BJ44:BL44"/>
    <mergeCell ref="BM44:BO44"/>
    <mergeCell ref="AT45:AV45"/>
    <mergeCell ref="BP46:BR46"/>
    <mergeCell ref="BS46:BU46"/>
    <mergeCell ref="BV46:BX46"/>
    <mergeCell ref="BY46:CA46"/>
    <mergeCell ref="CB46:CD46"/>
    <mergeCell ref="CE46:CG46"/>
    <mergeCell ref="AT48:CP48"/>
    <mergeCell ref="AT56:CP56"/>
    <mergeCell ref="AT46:AW46"/>
    <mergeCell ref="AX46:AZ46"/>
    <mergeCell ref="BA46:BC46"/>
    <mergeCell ref="BD46:BF46"/>
    <mergeCell ref="BG46:BI46"/>
    <mergeCell ref="BJ46:BL46"/>
    <mergeCell ref="BM46:BO46"/>
    <mergeCell ref="BJ67:BL68"/>
    <mergeCell ref="BM67:BO68"/>
    <mergeCell ref="BP67:BR68"/>
    <mergeCell ref="BS67:BU68"/>
    <mergeCell ref="BV67:BX68"/>
    <mergeCell ref="BY67:CA68"/>
    <mergeCell ref="CB67:CD68"/>
    <mergeCell ref="CE67:CG68"/>
    <mergeCell ref="CH67:CJ68"/>
    <mergeCell ref="CK67:CM68"/>
    <mergeCell ref="CN67:CP68"/>
    <mergeCell ref="CR68:CT68"/>
    <mergeCell ref="CU68:DG68"/>
    <mergeCell ref="DH68:DJ68"/>
    <mergeCell ref="CR69:CT69"/>
    <mergeCell ref="CR70:CT70"/>
    <mergeCell ref="CU70:DG70"/>
    <mergeCell ref="DH70:DJ70"/>
    <mergeCell ref="CU69:DG69"/>
    <mergeCell ref="DH69:DJ69"/>
    <mergeCell ref="DK69:DM69"/>
    <mergeCell ref="DN69:DP69"/>
    <mergeCell ref="DQ69:DS69"/>
    <mergeCell ref="DT69:DV69"/>
    <mergeCell ref="DW69:DY69"/>
    <mergeCell ref="DK68:DM68"/>
    <mergeCell ref="DN68:DP68"/>
    <mergeCell ref="DQ68:DS68"/>
    <mergeCell ref="DT68:DV68"/>
    <mergeCell ref="DW68:DY68"/>
    <mergeCell ref="DK70:DM70"/>
    <mergeCell ref="DN70:DP70"/>
    <mergeCell ref="CU75:DG75"/>
    <mergeCell ref="DH75:DJ75"/>
    <mergeCell ref="DK75:DM75"/>
    <mergeCell ref="DN75:DP75"/>
    <mergeCell ref="DQ75:DS75"/>
    <mergeCell ref="DT75:DV75"/>
    <mergeCell ref="EO75:EP75"/>
    <mergeCell ref="EQ75:ER75"/>
    <mergeCell ref="ET75:FI75"/>
    <mergeCell ref="FJ75:FL75"/>
    <mergeCell ref="FN75:FY78"/>
    <mergeCell ref="FZ75:GA78"/>
    <mergeCell ref="GB75:GB78"/>
    <mergeCell ref="GC75:GC78"/>
    <mergeCell ref="GD75:GD78"/>
    <mergeCell ref="GE75:GE78"/>
    <mergeCell ref="GF75:GF78"/>
    <mergeCell ref="GG75:GG78"/>
    <mergeCell ref="GH75:GH78"/>
    <mergeCell ref="GI75:GI78"/>
    <mergeCell ref="GJ75:GJ78"/>
    <mergeCell ref="GK75:GK78"/>
    <mergeCell ref="GL75:GL78"/>
    <mergeCell ref="GM75:GM78"/>
    <mergeCell ref="GN75:GN78"/>
    <mergeCell ref="GO75:GO78"/>
    <mergeCell ref="GP75:GP78"/>
    <mergeCell ref="GQ75:GQ78"/>
    <mergeCell ref="GR75:GR78"/>
    <mergeCell ref="GS75:GS78"/>
    <mergeCell ref="GT75:GT78"/>
    <mergeCell ref="GU75:GU78"/>
    <mergeCell ref="GV75:GV78"/>
    <mergeCell ref="GW75:GW78"/>
    <mergeCell ref="GX75:GX78"/>
    <mergeCell ref="GY75:GY78"/>
    <mergeCell ref="GZ75:GZ78"/>
    <mergeCell ref="HA75:HA78"/>
    <mergeCell ref="HB75:HB78"/>
    <mergeCell ref="HC75:HC78"/>
    <mergeCell ref="HD75:HD78"/>
    <mergeCell ref="HE75:HE78"/>
    <mergeCell ref="HF75:HF78"/>
    <mergeCell ref="HG75:HI78"/>
    <mergeCell ref="CR76:CT76"/>
    <mergeCell ref="CU76:DG76"/>
    <mergeCell ref="DH76:DJ76"/>
    <mergeCell ref="DK76:DM76"/>
    <mergeCell ref="DN76:DP76"/>
    <mergeCell ref="DQ76:DS76"/>
    <mergeCell ref="DT76:DV76"/>
    <mergeCell ref="EA75:EN75"/>
    <mergeCell ref="EA76:EN76"/>
    <mergeCell ref="EO76:EP76"/>
    <mergeCell ref="EQ76:ER76"/>
    <mergeCell ref="ET76:FI76"/>
    <mergeCell ref="FJ76:FL76"/>
    <mergeCell ref="ET78:FI78"/>
    <mergeCell ref="FJ78:FL78"/>
    <mergeCell ref="DW77:DY77"/>
    <mergeCell ref="EA77:EN77"/>
    <mergeCell ref="EO77:EP77"/>
    <mergeCell ref="EQ77:ER77"/>
    <mergeCell ref="ET77:FI77"/>
    <mergeCell ref="FJ77:FL77"/>
    <mergeCell ref="CR78:CT78"/>
    <mergeCell ref="CU78:DG78"/>
    <mergeCell ref="DH78:DJ78"/>
    <mergeCell ref="DK78:DM78"/>
    <mergeCell ref="DN78:DP78"/>
    <mergeCell ref="DQ78:DS78"/>
    <mergeCell ref="DT78:DV78"/>
    <mergeCell ref="CR77:CT77"/>
    <mergeCell ref="CU77:DG77"/>
    <mergeCell ref="DH77:DJ77"/>
    <mergeCell ref="DK77:DM77"/>
    <mergeCell ref="DN77:DP77"/>
    <mergeCell ref="DQ77:DS77"/>
    <mergeCell ref="DT77:DV77"/>
    <mergeCell ref="DW78:DY78"/>
    <mergeCell ref="EA78:EN78"/>
    <mergeCell ref="EO78:EP78"/>
    <mergeCell ref="EQ78:ER78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18" width="2.63"/>
  </cols>
  <sheetData>
    <row r="1" ht="15.0" customHeight="1">
      <c r="A1" s="181"/>
      <c r="B1" s="181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  <c r="FL1" s="214"/>
      <c r="FM1" s="214"/>
      <c r="FN1" s="214"/>
      <c r="FO1" s="214"/>
      <c r="FP1" s="214"/>
      <c r="FQ1" s="214"/>
      <c r="FR1" s="214"/>
      <c r="FS1" s="214"/>
      <c r="FT1" s="214"/>
      <c r="FU1" s="214"/>
      <c r="FV1" s="214"/>
      <c r="FW1" s="214"/>
      <c r="FX1" s="214"/>
      <c r="FY1" s="214"/>
      <c r="FZ1" s="214"/>
      <c r="GA1" s="214"/>
      <c r="GB1" s="214"/>
      <c r="GC1" s="214"/>
      <c r="GD1" s="214"/>
      <c r="GE1" s="214"/>
      <c r="GF1" s="214"/>
      <c r="GG1" s="214"/>
      <c r="GH1" s="214"/>
      <c r="GI1" s="214"/>
      <c r="GJ1" s="214"/>
      <c r="GK1" s="214"/>
      <c r="GL1" s="214"/>
      <c r="GM1" s="214"/>
      <c r="GN1" s="214"/>
      <c r="GO1" s="214"/>
      <c r="GP1" s="214"/>
      <c r="GQ1" s="214"/>
      <c r="GR1" s="214"/>
      <c r="GS1" s="214"/>
      <c r="GT1" s="214"/>
      <c r="GU1" s="214"/>
      <c r="GV1" s="214"/>
      <c r="GW1" s="214"/>
      <c r="GX1" s="214"/>
      <c r="GY1" s="214"/>
      <c r="GZ1" s="214"/>
      <c r="HA1" s="214"/>
      <c r="HB1" s="214"/>
      <c r="HC1" s="214"/>
      <c r="HD1" s="214"/>
      <c r="HE1" s="214"/>
      <c r="HF1" s="214"/>
      <c r="HG1" s="214"/>
      <c r="HH1" s="214"/>
      <c r="HI1" s="214"/>
      <c r="HJ1" s="214"/>
    </row>
    <row r="2" ht="15.0" customHeight="1">
      <c r="A2" s="180"/>
      <c r="B2" s="13"/>
      <c r="C2" s="215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7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7"/>
      <c r="CR2" s="216"/>
      <c r="CS2" s="216"/>
      <c r="CT2" s="216"/>
      <c r="CU2" s="216"/>
      <c r="CV2" s="216"/>
      <c r="CW2" s="216"/>
      <c r="CX2" s="216"/>
      <c r="CY2" s="216"/>
      <c r="CZ2" s="216"/>
      <c r="DA2" s="216"/>
      <c r="DB2" s="216"/>
      <c r="DC2" s="216"/>
      <c r="DD2" s="216"/>
      <c r="DE2" s="216"/>
      <c r="DF2" s="216"/>
      <c r="DG2" s="216"/>
      <c r="DH2" s="216"/>
      <c r="DI2" s="216"/>
      <c r="DJ2" s="216"/>
      <c r="DK2" s="216"/>
      <c r="DL2" s="216"/>
      <c r="DM2" s="216"/>
      <c r="DN2" s="216"/>
      <c r="DO2" s="216"/>
      <c r="DP2" s="216"/>
      <c r="DQ2" s="216"/>
      <c r="DR2" s="216"/>
      <c r="DS2" s="216"/>
      <c r="DT2" s="216"/>
      <c r="DU2" s="216"/>
      <c r="DV2" s="216"/>
      <c r="DW2" s="216"/>
      <c r="DX2" s="216"/>
      <c r="DY2" s="216"/>
      <c r="DZ2" s="217"/>
      <c r="EA2" s="216"/>
      <c r="EB2" s="216"/>
      <c r="EC2" s="216"/>
      <c r="ED2" s="216"/>
      <c r="EE2" s="216"/>
      <c r="EF2" s="216"/>
      <c r="EG2" s="216"/>
      <c r="EH2" s="216"/>
      <c r="EI2" s="216"/>
      <c r="EJ2" s="216"/>
      <c r="EK2" s="216"/>
      <c r="EL2" s="216"/>
      <c r="EM2" s="216"/>
      <c r="EN2" s="216"/>
      <c r="EO2" s="216"/>
      <c r="EP2" s="216"/>
      <c r="EQ2" s="216"/>
      <c r="ER2" s="216"/>
      <c r="ES2" s="217"/>
      <c r="ET2" s="216"/>
      <c r="EU2" s="216"/>
      <c r="EV2" s="216"/>
      <c r="EW2" s="216"/>
      <c r="EX2" s="216"/>
      <c r="EY2" s="216"/>
      <c r="EZ2" s="216"/>
      <c r="FA2" s="216"/>
      <c r="FB2" s="216"/>
      <c r="FC2" s="216"/>
      <c r="FD2" s="216"/>
      <c r="FE2" s="216"/>
      <c r="FF2" s="216"/>
      <c r="FG2" s="216"/>
      <c r="FH2" s="216"/>
      <c r="FI2" s="216"/>
      <c r="FJ2" s="216"/>
      <c r="FK2" s="216"/>
      <c r="FL2" s="216"/>
      <c r="FM2" s="217"/>
      <c r="FN2" s="216"/>
      <c r="FO2" s="216"/>
      <c r="FP2" s="216"/>
      <c r="FQ2" s="216"/>
      <c r="FR2" s="216"/>
      <c r="FS2" s="216"/>
      <c r="FT2" s="216"/>
      <c r="FU2" s="216"/>
      <c r="FV2" s="216"/>
      <c r="FW2" s="216"/>
      <c r="FX2" s="216"/>
      <c r="FY2" s="216"/>
      <c r="FZ2" s="216"/>
      <c r="GA2" s="216"/>
      <c r="GB2" s="216"/>
      <c r="GC2" s="216"/>
      <c r="GD2" s="216"/>
      <c r="GE2" s="216"/>
      <c r="GF2" s="216"/>
      <c r="GG2" s="216"/>
      <c r="GH2" s="216"/>
      <c r="GI2" s="216"/>
      <c r="GJ2" s="216"/>
      <c r="GK2" s="216"/>
      <c r="GL2" s="216"/>
      <c r="GM2" s="216"/>
      <c r="GN2" s="216"/>
      <c r="GO2" s="216"/>
      <c r="GP2" s="216"/>
      <c r="GQ2" s="216"/>
      <c r="GR2" s="216"/>
      <c r="GS2" s="216"/>
      <c r="GT2" s="216"/>
      <c r="GU2" s="216"/>
      <c r="GV2" s="216"/>
      <c r="GW2" s="216"/>
      <c r="GX2" s="216"/>
      <c r="GY2" s="216"/>
      <c r="GZ2" s="216"/>
      <c r="HA2" s="216"/>
      <c r="HB2" s="216"/>
      <c r="HC2" s="216"/>
      <c r="HD2" s="216"/>
      <c r="HE2" s="216"/>
      <c r="HF2" s="216"/>
      <c r="HG2" s="216"/>
      <c r="HH2" s="216"/>
      <c r="HI2" s="216"/>
      <c r="HJ2" s="217"/>
    </row>
    <row r="3" ht="15.0" customHeight="1">
      <c r="A3" s="189"/>
      <c r="B3" s="13"/>
      <c r="C3" s="218"/>
      <c r="D3" s="4" t="s"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/>
      <c r="AS3" s="219"/>
      <c r="AT3" s="8" t="s">
        <v>1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10"/>
      <c r="CQ3" s="220"/>
      <c r="CR3" s="221" t="s">
        <v>85</v>
      </c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3"/>
      <c r="DZ3" s="219"/>
      <c r="EA3" s="14" t="s">
        <v>3</v>
      </c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6"/>
      <c r="ES3" s="219"/>
      <c r="ET3" s="17" t="s">
        <v>86</v>
      </c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9"/>
      <c r="FM3" s="219"/>
      <c r="FN3" s="20" t="s">
        <v>123</v>
      </c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2"/>
      <c r="HJ3" s="222"/>
    </row>
    <row r="4" ht="15.0" customHeight="1">
      <c r="A4" s="23" t="s">
        <v>88</v>
      </c>
      <c r="B4" s="223"/>
      <c r="D4" s="224" t="s">
        <v>7</v>
      </c>
      <c r="E4" s="27"/>
      <c r="F4" s="27"/>
      <c r="G4" s="27"/>
      <c r="H4" s="27"/>
      <c r="I4" s="27"/>
      <c r="J4" s="27"/>
      <c r="K4" s="27"/>
      <c r="L4" s="28"/>
      <c r="M4" s="225" t="s">
        <v>8</v>
      </c>
      <c r="N4" s="226">
        <v>44228.0</v>
      </c>
      <c r="O4" s="226">
        <v>44229.0</v>
      </c>
      <c r="P4" s="226">
        <v>44230.0</v>
      </c>
      <c r="Q4" s="226">
        <v>44231.0</v>
      </c>
      <c r="R4" s="226">
        <v>44232.0</v>
      </c>
      <c r="S4" s="226">
        <v>44233.0</v>
      </c>
      <c r="T4" s="226">
        <v>44234.0</v>
      </c>
      <c r="U4" s="226">
        <v>44235.0</v>
      </c>
      <c r="V4" s="226">
        <v>44236.0</v>
      </c>
      <c r="W4" s="226">
        <v>44237.0</v>
      </c>
      <c r="X4" s="226">
        <v>44238.0</v>
      </c>
      <c r="Y4" s="226">
        <v>44239.0</v>
      </c>
      <c r="Z4" s="226">
        <v>44240.0</v>
      </c>
      <c r="AA4" s="226">
        <v>44241.0</v>
      </c>
      <c r="AB4" s="226">
        <v>44242.0</v>
      </c>
      <c r="AC4" s="226">
        <v>44243.0</v>
      </c>
      <c r="AD4" s="226">
        <v>44244.0</v>
      </c>
      <c r="AE4" s="226">
        <v>44245.0</v>
      </c>
      <c r="AF4" s="226">
        <v>44246.0</v>
      </c>
      <c r="AG4" s="226">
        <v>44247.0</v>
      </c>
      <c r="AH4" s="226">
        <v>44248.0</v>
      </c>
      <c r="AI4" s="226">
        <v>44249.0</v>
      </c>
      <c r="AJ4" s="226">
        <v>44250.0</v>
      </c>
      <c r="AK4" s="226">
        <v>44251.0</v>
      </c>
      <c r="AL4" s="226">
        <v>44252.0</v>
      </c>
      <c r="AM4" s="226">
        <v>44253.0</v>
      </c>
      <c r="AN4" s="226">
        <v>44254.0</v>
      </c>
      <c r="AO4" s="226">
        <v>44255.0</v>
      </c>
      <c r="AP4" s="226">
        <v>44256.0</v>
      </c>
      <c r="AQ4" s="226">
        <v>44257.0</v>
      </c>
      <c r="AR4" s="226">
        <v>44258.0</v>
      </c>
      <c r="AT4" s="227" t="s">
        <v>9</v>
      </c>
      <c r="AU4" s="228"/>
      <c r="AV4" s="228"/>
      <c r="AW4" s="229"/>
      <c r="AX4" s="230"/>
      <c r="AY4" s="228"/>
      <c r="AZ4" s="229"/>
      <c r="BA4" s="231"/>
      <c r="BB4" s="228"/>
      <c r="BC4" s="229"/>
      <c r="BD4" s="231"/>
      <c r="BE4" s="228"/>
      <c r="BF4" s="229"/>
      <c r="BG4" s="231"/>
      <c r="BH4" s="228"/>
      <c r="BI4" s="229"/>
      <c r="BJ4" s="231"/>
      <c r="BK4" s="228"/>
      <c r="BL4" s="229"/>
      <c r="BM4" s="231"/>
      <c r="BN4" s="228"/>
      <c r="BO4" s="229"/>
      <c r="BP4" s="231"/>
      <c r="BQ4" s="228"/>
      <c r="BR4" s="229"/>
      <c r="BS4" s="231"/>
      <c r="BT4" s="228"/>
      <c r="BU4" s="229"/>
      <c r="BV4" s="231"/>
      <c r="BW4" s="228"/>
      <c r="BX4" s="229"/>
      <c r="BY4" s="231"/>
      <c r="BZ4" s="228"/>
      <c r="CA4" s="229"/>
      <c r="CB4" s="231"/>
      <c r="CC4" s="228"/>
      <c r="CD4" s="229"/>
      <c r="CE4" s="231"/>
      <c r="CF4" s="228"/>
      <c r="CG4" s="229"/>
      <c r="CH4" s="231"/>
      <c r="CI4" s="228"/>
      <c r="CJ4" s="229"/>
      <c r="CK4" s="231"/>
      <c r="CL4" s="228"/>
      <c r="CM4" s="229"/>
      <c r="CN4" s="231"/>
      <c r="CO4" s="228"/>
      <c r="CP4" s="229"/>
      <c r="CQ4" s="220"/>
      <c r="CR4" s="37" t="s">
        <v>10</v>
      </c>
      <c r="CS4" s="12"/>
      <c r="CT4" s="13"/>
      <c r="CU4" s="37" t="s">
        <v>11</v>
      </c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3"/>
      <c r="DH4" s="232" t="s">
        <v>12</v>
      </c>
      <c r="DI4" s="12"/>
      <c r="DJ4" s="13"/>
      <c r="DK4" s="232" t="s">
        <v>13</v>
      </c>
      <c r="DL4" s="12"/>
      <c r="DM4" s="13"/>
      <c r="DN4" s="233" t="s">
        <v>90</v>
      </c>
      <c r="DO4" s="12"/>
      <c r="DP4" s="13"/>
      <c r="DQ4" s="37" t="s">
        <v>91</v>
      </c>
      <c r="DR4" s="12"/>
      <c r="DS4" s="13"/>
      <c r="DT4" s="234" t="s">
        <v>16</v>
      </c>
      <c r="DU4" s="12"/>
      <c r="DV4" s="13"/>
      <c r="DW4" s="233" t="s">
        <v>92</v>
      </c>
      <c r="DX4" s="12"/>
      <c r="DY4" s="13"/>
      <c r="EA4" s="235" t="s">
        <v>18</v>
      </c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6"/>
      <c r="EO4" s="236" t="s">
        <v>93</v>
      </c>
      <c r="EP4" s="16"/>
      <c r="EQ4" s="236" t="s">
        <v>94</v>
      </c>
      <c r="ER4" s="16"/>
      <c r="ET4" s="237" t="s">
        <v>20</v>
      </c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9"/>
      <c r="FJ4" s="238" t="s">
        <v>21</v>
      </c>
      <c r="FK4" s="18"/>
      <c r="FL4" s="19"/>
      <c r="FN4" s="239" t="s">
        <v>22</v>
      </c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1"/>
      <c r="FZ4" s="242" t="s">
        <v>23</v>
      </c>
      <c r="GA4" s="241"/>
      <c r="GB4" s="243">
        <v>44317.0</v>
      </c>
      <c r="GC4" s="243">
        <v>44318.0</v>
      </c>
      <c r="GD4" s="243">
        <v>44319.0</v>
      </c>
      <c r="GE4" s="243">
        <v>44320.0</v>
      </c>
      <c r="GF4" s="243">
        <v>44321.0</v>
      </c>
      <c r="GG4" s="243">
        <v>44322.0</v>
      </c>
      <c r="GH4" s="243">
        <v>44323.0</v>
      </c>
      <c r="GI4" s="243">
        <v>44324.0</v>
      </c>
      <c r="GJ4" s="243">
        <v>44325.0</v>
      </c>
      <c r="GK4" s="243">
        <v>44326.0</v>
      </c>
      <c r="GL4" s="243">
        <v>44327.0</v>
      </c>
      <c r="GM4" s="243">
        <v>44328.0</v>
      </c>
      <c r="GN4" s="243">
        <v>44329.0</v>
      </c>
      <c r="GO4" s="243">
        <v>44330.0</v>
      </c>
      <c r="GP4" s="243">
        <v>44331.0</v>
      </c>
      <c r="GQ4" s="243">
        <v>44332.0</v>
      </c>
      <c r="GR4" s="243">
        <v>44333.0</v>
      </c>
      <c r="GS4" s="243">
        <v>44334.0</v>
      </c>
      <c r="GT4" s="243">
        <v>44335.0</v>
      </c>
      <c r="GU4" s="243">
        <v>44336.0</v>
      </c>
      <c r="GV4" s="243">
        <v>44337.0</v>
      </c>
      <c r="GW4" s="243">
        <v>44338.0</v>
      </c>
      <c r="GX4" s="243">
        <v>44339.0</v>
      </c>
      <c r="GY4" s="243">
        <v>44340.0</v>
      </c>
      <c r="GZ4" s="243">
        <v>44341.0</v>
      </c>
      <c r="HA4" s="243">
        <v>44342.0</v>
      </c>
      <c r="HB4" s="243">
        <v>44343.0</v>
      </c>
      <c r="HC4" s="243">
        <v>44344.0</v>
      </c>
      <c r="HD4" s="243">
        <v>44345.0</v>
      </c>
      <c r="HE4" s="243">
        <v>44346.0</v>
      </c>
      <c r="HF4" s="243">
        <v>44347.0</v>
      </c>
      <c r="HG4" s="244" t="s">
        <v>24</v>
      </c>
      <c r="HH4" s="240"/>
      <c r="HI4" s="241"/>
      <c r="HJ4" s="35"/>
    </row>
    <row r="5" ht="15.0" customHeight="1">
      <c r="A5" s="54"/>
      <c r="B5" s="245"/>
      <c r="D5" s="55"/>
      <c r="L5" s="33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T5" s="246"/>
      <c r="AU5" s="247"/>
      <c r="AV5" s="247"/>
      <c r="AW5" s="248"/>
      <c r="AX5" s="246"/>
      <c r="AY5" s="247"/>
      <c r="AZ5" s="248"/>
      <c r="BA5" s="246"/>
      <c r="BB5" s="247"/>
      <c r="BC5" s="248"/>
      <c r="BD5" s="246"/>
      <c r="BE5" s="247"/>
      <c r="BF5" s="248"/>
      <c r="BG5" s="246"/>
      <c r="BH5" s="247"/>
      <c r="BI5" s="248"/>
      <c r="BJ5" s="246"/>
      <c r="BK5" s="247"/>
      <c r="BL5" s="248"/>
      <c r="BM5" s="246"/>
      <c r="BN5" s="247"/>
      <c r="BO5" s="248"/>
      <c r="BP5" s="246"/>
      <c r="BQ5" s="247"/>
      <c r="BR5" s="248"/>
      <c r="BS5" s="246"/>
      <c r="BT5" s="247"/>
      <c r="BU5" s="248"/>
      <c r="BV5" s="246"/>
      <c r="BW5" s="247"/>
      <c r="BX5" s="248"/>
      <c r="BY5" s="246"/>
      <c r="BZ5" s="247"/>
      <c r="CA5" s="248"/>
      <c r="CB5" s="246"/>
      <c r="CC5" s="247"/>
      <c r="CD5" s="248"/>
      <c r="CE5" s="246"/>
      <c r="CF5" s="247"/>
      <c r="CG5" s="248"/>
      <c r="CH5" s="246"/>
      <c r="CI5" s="247"/>
      <c r="CJ5" s="248"/>
      <c r="CK5" s="246"/>
      <c r="CL5" s="247"/>
      <c r="CM5" s="248"/>
      <c r="CN5" s="246"/>
      <c r="CO5" s="247"/>
      <c r="CP5" s="248"/>
      <c r="CQ5" s="220"/>
      <c r="CR5" s="249"/>
      <c r="CS5" s="12"/>
      <c r="CT5" s="13"/>
      <c r="CU5" s="250" t="s">
        <v>25</v>
      </c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3"/>
      <c r="DH5" s="251">
        <f t="shared" ref="DH5:DH10" si="1">SUM(N8:AR8)</f>
        <v>0</v>
      </c>
      <c r="DI5" s="12"/>
      <c r="DJ5" s="13"/>
      <c r="DK5" s="252">
        <v>0.0</v>
      </c>
      <c r="DL5" s="12"/>
      <c r="DM5" s="13"/>
      <c r="DN5" s="253">
        <f t="shared" ref="DN5:DN16" si="2">CR5*DT5/100</f>
        <v>0</v>
      </c>
      <c r="DO5" s="12"/>
      <c r="DP5" s="13"/>
      <c r="DQ5" s="252">
        <v>0.0</v>
      </c>
      <c r="DR5" s="12"/>
      <c r="DS5" s="13"/>
      <c r="DT5" s="254">
        <v>0.0</v>
      </c>
      <c r="DU5" s="12"/>
      <c r="DV5" s="13"/>
      <c r="DW5" s="255" t="str">
        <f t="shared" ref="DW5:DW17" si="3">(DK5-DH5)/#REF!</f>
        <v>#REF!</v>
      </c>
      <c r="DX5" s="12"/>
      <c r="DY5" s="13"/>
      <c r="EA5" s="256" t="s">
        <v>26</v>
      </c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6"/>
      <c r="EO5" s="257" t="str">
        <f>DH7*100/DH5</f>
        <v>#DIV/0!</v>
      </c>
      <c r="EP5" s="16"/>
      <c r="EQ5" s="257" t="str">
        <f>((DH7*100/DH5)+#REF!)/2</f>
        <v>#DIV/0!</v>
      </c>
      <c r="ER5" s="16"/>
      <c r="ET5" s="258" t="s">
        <v>27</v>
      </c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9"/>
      <c r="FJ5" s="259">
        <f>HG14</f>
        <v>0</v>
      </c>
      <c r="FK5" s="18"/>
      <c r="FL5" s="19"/>
      <c r="FN5" s="260"/>
      <c r="FY5" s="261"/>
      <c r="FZ5" s="260"/>
      <c r="GA5" s="261"/>
      <c r="GB5" s="262"/>
      <c r="GC5" s="262"/>
      <c r="GD5" s="262"/>
      <c r="GE5" s="262"/>
      <c r="GF5" s="262"/>
      <c r="GG5" s="262"/>
      <c r="GH5" s="262"/>
      <c r="GI5" s="262"/>
      <c r="GJ5" s="262"/>
      <c r="GK5" s="262"/>
      <c r="GL5" s="262"/>
      <c r="GM5" s="262"/>
      <c r="GN5" s="262"/>
      <c r="GO5" s="262"/>
      <c r="GP5" s="262"/>
      <c r="GQ5" s="262"/>
      <c r="GR5" s="262"/>
      <c r="GS5" s="262"/>
      <c r="GT5" s="262"/>
      <c r="GU5" s="262"/>
      <c r="GV5" s="262"/>
      <c r="GW5" s="262"/>
      <c r="GX5" s="262"/>
      <c r="GY5" s="262"/>
      <c r="GZ5" s="262"/>
      <c r="HA5" s="262"/>
      <c r="HB5" s="262"/>
      <c r="HC5" s="262"/>
      <c r="HD5" s="262"/>
      <c r="HE5" s="262"/>
      <c r="HF5" s="262"/>
      <c r="HG5" s="260"/>
      <c r="HI5" s="261"/>
      <c r="HJ5" s="35"/>
    </row>
    <row r="6" ht="15.0" customHeight="1">
      <c r="A6" s="54"/>
      <c r="B6" s="245"/>
      <c r="D6" s="55"/>
      <c r="L6" s="33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T6" s="263" t="s">
        <v>21</v>
      </c>
      <c r="AU6" s="9"/>
      <c r="AV6" s="9"/>
      <c r="AW6" s="10"/>
      <c r="AX6" s="264">
        <v>25000.0</v>
      </c>
      <c r="AY6" s="9"/>
      <c r="AZ6" s="10"/>
      <c r="BA6" s="264"/>
      <c r="BB6" s="9"/>
      <c r="BC6" s="10"/>
      <c r="BD6" s="264"/>
      <c r="BE6" s="9"/>
      <c r="BF6" s="10"/>
      <c r="BG6" s="264"/>
      <c r="BH6" s="9"/>
      <c r="BI6" s="10"/>
      <c r="BJ6" s="264"/>
      <c r="BK6" s="9"/>
      <c r="BL6" s="10"/>
      <c r="BM6" s="264"/>
      <c r="BN6" s="9"/>
      <c r="BO6" s="10"/>
      <c r="BP6" s="264"/>
      <c r="BQ6" s="9"/>
      <c r="BR6" s="10"/>
      <c r="BS6" s="264"/>
      <c r="BT6" s="9"/>
      <c r="BU6" s="10"/>
      <c r="BV6" s="264"/>
      <c r="BW6" s="9"/>
      <c r="BX6" s="10"/>
      <c r="BY6" s="264"/>
      <c r="BZ6" s="9"/>
      <c r="CA6" s="10"/>
      <c r="CB6" s="264"/>
      <c r="CC6" s="9"/>
      <c r="CD6" s="10"/>
      <c r="CE6" s="264"/>
      <c r="CF6" s="9"/>
      <c r="CG6" s="10"/>
      <c r="CH6" s="264"/>
      <c r="CI6" s="9"/>
      <c r="CJ6" s="10"/>
      <c r="CK6" s="264"/>
      <c r="CL6" s="9"/>
      <c r="CM6" s="10"/>
      <c r="CN6" s="264"/>
      <c r="CO6" s="9"/>
      <c r="CP6" s="10"/>
      <c r="CQ6" s="220"/>
      <c r="CR6" s="249"/>
      <c r="CS6" s="12"/>
      <c r="CT6" s="13"/>
      <c r="CU6" s="250" t="s">
        <v>28</v>
      </c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3"/>
      <c r="DH6" s="251">
        <f t="shared" si="1"/>
        <v>0</v>
      </c>
      <c r="DI6" s="12"/>
      <c r="DJ6" s="13"/>
      <c r="DK6" s="252">
        <v>80.0</v>
      </c>
      <c r="DL6" s="12"/>
      <c r="DM6" s="13"/>
      <c r="DN6" s="253">
        <f t="shared" si="2"/>
        <v>0</v>
      </c>
      <c r="DO6" s="12"/>
      <c r="DP6" s="13"/>
      <c r="DQ6" s="251">
        <f t="shared" ref="DQ6:DQ9" si="4">IF(DH6&lt;DK6,DH6,IF(DH6&gt;=DK6,DK6))</f>
        <v>0</v>
      </c>
      <c r="DR6" s="12"/>
      <c r="DS6" s="13"/>
      <c r="DT6" s="254">
        <f t="shared" ref="DT6:DT9" si="5">DQ6*100/DK6</f>
        <v>0</v>
      </c>
      <c r="DU6" s="12"/>
      <c r="DV6" s="13"/>
      <c r="DW6" s="255" t="str">
        <f t="shared" si="3"/>
        <v>#REF!</v>
      </c>
      <c r="DX6" s="12"/>
      <c r="DY6" s="13"/>
      <c r="EA6" s="256" t="s">
        <v>29</v>
      </c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6"/>
      <c r="EO6" s="257" t="str">
        <f>DH8*100/DH5</f>
        <v>#DIV/0!</v>
      </c>
      <c r="EP6" s="16"/>
      <c r="EQ6" s="257" t="str">
        <f>((DH7*100/DH5)+#REF!)/2</f>
        <v>#DIV/0!</v>
      </c>
      <c r="ER6" s="16"/>
      <c r="ET6" s="265" t="s">
        <v>30</v>
      </c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9"/>
      <c r="FJ6" s="259">
        <f>sum(DN8,DN9,DN11)</f>
        <v>0</v>
      </c>
      <c r="FK6" s="18"/>
      <c r="FL6" s="19"/>
      <c r="FN6" s="260"/>
      <c r="FY6" s="261"/>
      <c r="FZ6" s="260"/>
      <c r="GA6" s="261"/>
      <c r="GB6" s="262"/>
      <c r="GC6" s="262"/>
      <c r="GD6" s="262"/>
      <c r="GE6" s="262"/>
      <c r="GF6" s="262"/>
      <c r="GG6" s="262"/>
      <c r="GH6" s="262"/>
      <c r="GI6" s="262"/>
      <c r="GJ6" s="262"/>
      <c r="GK6" s="262"/>
      <c r="GL6" s="262"/>
      <c r="GM6" s="262"/>
      <c r="GN6" s="262"/>
      <c r="GO6" s="262"/>
      <c r="GP6" s="262"/>
      <c r="GQ6" s="262"/>
      <c r="GR6" s="262"/>
      <c r="GS6" s="262"/>
      <c r="GT6" s="262"/>
      <c r="GU6" s="262"/>
      <c r="GV6" s="262"/>
      <c r="GW6" s="262"/>
      <c r="GX6" s="262"/>
      <c r="GY6" s="262"/>
      <c r="GZ6" s="262"/>
      <c r="HA6" s="262"/>
      <c r="HB6" s="262"/>
      <c r="HC6" s="262"/>
      <c r="HD6" s="262"/>
      <c r="HE6" s="262"/>
      <c r="HF6" s="262"/>
      <c r="HG6" s="260"/>
      <c r="HI6" s="261"/>
      <c r="HJ6" s="35"/>
    </row>
    <row r="7" ht="15.0" customHeight="1">
      <c r="A7" s="54"/>
      <c r="B7" s="245"/>
      <c r="D7" s="57"/>
      <c r="E7" s="39"/>
      <c r="F7" s="39"/>
      <c r="G7" s="39"/>
      <c r="H7" s="39"/>
      <c r="I7" s="39"/>
      <c r="J7" s="39"/>
      <c r="K7" s="39"/>
      <c r="L7" s="40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T7" s="266" t="s">
        <v>31</v>
      </c>
      <c r="AU7" s="9"/>
      <c r="AV7" s="9"/>
      <c r="AW7" s="10"/>
      <c r="AX7" s="267">
        <v>1.0</v>
      </c>
      <c r="AY7" s="9"/>
      <c r="AZ7" s="10"/>
      <c r="BA7" s="267"/>
      <c r="BB7" s="9"/>
      <c r="BC7" s="10"/>
      <c r="BD7" s="267"/>
      <c r="BE7" s="9"/>
      <c r="BF7" s="10"/>
      <c r="BG7" s="267"/>
      <c r="BH7" s="9"/>
      <c r="BI7" s="10"/>
      <c r="BJ7" s="267"/>
      <c r="BK7" s="9"/>
      <c r="BL7" s="10"/>
      <c r="BM7" s="267"/>
      <c r="BN7" s="9"/>
      <c r="BO7" s="10"/>
      <c r="BP7" s="267"/>
      <c r="BQ7" s="9"/>
      <c r="BR7" s="10"/>
      <c r="BS7" s="267"/>
      <c r="BT7" s="9"/>
      <c r="BU7" s="10"/>
      <c r="BV7" s="267"/>
      <c r="BW7" s="9"/>
      <c r="BX7" s="10"/>
      <c r="BY7" s="267"/>
      <c r="BZ7" s="9"/>
      <c r="CA7" s="10"/>
      <c r="CB7" s="267"/>
      <c r="CC7" s="9"/>
      <c r="CD7" s="10"/>
      <c r="CE7" s="267"/>
      <c r="CF7" s="9"/>
      <c r="CG7" s="10"/>
      <c r="CH7" s="267"/>
      <c r="CI7" s="9"/>
      <c r="CJ7" s="10"/>
      <c r="CK7" s="267"/>
      <c r="CL7" s="9"/>
      <c r="CM7" s="10"/>
      <c r="CN7" s="267"/>
      <c r="CO7" s="9"/>
      <c r="CP7" s="10"/>
      <c r="CQ7" s="220"/>
      <c r="CR7" s="249"/>
      <c r="CS7" s="12"/>
      <c r="CT7" s="13"/>
      <c r="CU7" s="268" t="s">
        <v>32</v>
      </c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3"/>
      <c r="DH7" s="251">
        <f t="shared" si="1"/>
        <v>0</v>
      </c>
      <c r="DI7" s="12"/>
      <c r="DJ7" s="13"/>
      <c r="DK7" s="252">
        <v>5.0</v>
      </c>
      <c r="DL7" s="12"/>
      <c r="DM7" s="13"/>
      <c r="DN7" s="253">
        <f t="shared" si="2"/>
        <v>0</v>
      </c>
      <c r="DO7" s="12"/>
      <c r="DP7" s="13"/>
      <c r="DQ7" s="251">
        <f t="shared" si="4"/>
        <v>0</v>
      </c>
      <c r="DR7" s="12"/>
      <c r="DS7" s="13"/>
      <c r="DT7" s="254">
        <f t="shared" si="5"/>
        <v>0</v>
      </c>
      <c r="DU7" s="12"/>
      <c r="DV7" s="13"/>
      <c r="DW7" s="255" t="str">
        <f t="shared" si="3"/>
        <v>#REF!</v>
      </c>
      <c r="DX7" s="12"/>
      <c r="DY7" s="13"/>
      <c r="EA7" s="269" t="s">
        <v>33</v>
      </c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6"/>
      <c r="EO7" s="257" t="str">
        <f>DH9*100/DH5</f>
        <v>#DIV/0!</v>
      </c>
      <c r="EP7" s="16"/>
      <c r="EQ7" s="257" t="str">
        <f>((DH9*100/DH5)+#REF!)/2</f>
        <v>#DIV/0!</v>
      </c>
      <c r="ER7" s="16"/>
      <c r="ET7" s="265" t="s">
        <v>34</v>
      </c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9"/>
      <c r="FJ7" s="270">
        <f>sum(DT8,DT9,DT11)/3</f>
        <v>0</v>
      </c>
      <c r="FK7" s="18"/>
      <c r="FL7" s="19"/>
      <c r="FN7" s="271"/>
      <c r="FO7" s="272"/>
      <c r="FP7" s="272"/>
      <c r="FQ7" s="272"/>
      <c r="FR7" s="272"/>
      <c r="FS7" s="272"/>
      <c r="FT7" s="272"/>
      <c r="FU7" s="272"/>
      <c r="FV7" s="272"/>
      <c r="FW7" s="272"/>
      <c r="FX7" s="272"/>
      <c r="FY7" s="273"/>
      <c r="FZ7" s="271"/>
      <c r="GA7" s="273"/>
      <c r="GB7" s="274"/>
      <c r="GC7" s="274"/>
      <c r="GD7" s="274"/>
      <c r="GE7" s="274"/>
      <c r="GF7" s="274"/>
      <c r="GG7" s="274"/>
      <c r="GH7" s="274"/>
      <c r="GI7" s="274"/>
      <c r="GJ7" s="274"/>
      <c r="GK7" s="274"/>
      <c r="GL7" s="274"/>
      <c r="GM7" s="274"/>
      <c r="GN7" s="274"/>
      <c r="GO7" s="274"/>
      <c r="GP7" s="274"/>
      <c r="GQ7" s="274"/>
      <c r="GR7" s="274"/>
      <c r="GS7" s="274"/>
      <c r="GT7" s="274"/>
      <c r="GU7" s="274"/>
      <c r="GV7" s="274"/>
      <c r="GW7" s="274"/>
      <c r="GX7" s="274"/>
      <c r="GY7" s="274"/>
      <c r="GZ7" s="274"/>
      <c r="HA7" s="274"/>
      <c r="HB7" s="274"/>
      <c r="HC7" s="274"/>
      <c r="HD7" s="274"/>
      <c r="HE7" s="274"/>
      <c r="HF7" s="274"/>
      <c r="HG7" s="271"/>
      <c r="HH7" s="272"/>
      <c r="HI7" s="273"/>
      <c r="HJ7" s="35"/>
    </row>
    <row r="8" ht="15.0" customHeight="1">
      <c r="A8" s="54"/>
      <c r="B8" s="245"/>
      <c r="D8" s="275" t="s">
        <v>35</v>
      </c>
      <c r="E8" s="5"/>
      <c r="F8" s="5"/>
      <c r="G8" s="5"/>
      <c r="H8" s="5"/>
      <c r="I8" s="5"/>
      <c r="J8" s="5"/>
      <c r="K8" s="5"/>
      <c r="L8" s="5"/>
      <c r="M8" s="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T8" s="277" t="s">
        <v>36</v>
      </c>
      <c r="AU8" s="9"/>
      <c r="AV8" s="10"/>
      <c r="AW8" s="278" t="s">
        <v>37</v>
      </c>
      <c r="AX8" s="279">
        <v>10.0</v>
      </c>
      <c r="AY8" s="9"/>
      <c r="AZ8" s="10"/>
      <c r="BA8" s="279">
        <v>10.0</v>
      </c>
      <c r="BB8" s="9"/>
      <c r="BC8" s="10"/>
      <c r="BD8" s="279">
        <v>10.0</v>
      </c>
      <c r="BE8" s="9"/>
      <c r="BF8" s="10"/>
      <c r="BG8" s="279">
        <v>10.0</v>
      </c>
      <c r="BH8" s="9"/>
      <c r="BI8" s="10"/>
      <c r="BJ8" s="279">
        <v>10.0</v>
      </c>
      <c r="BK8" s="9"/>
      <c r="BL8" s="10"/>
      <c r="BM8" s="279">
        <v>10.0</v>
      </c>
      <c r="BN8" s="9"/>
      <c r="BO8" s="10"/>
      <c r="BP8" s="279">
        <v>10.0</v>
      </c>
      <c r="BQ8" s="9"/>
      <c r="BR8" s="10"/>
      <c r="BS8" s="279">
        <v>10.0</v>
      </c>
      <c r="BT8" s="9"/>
      <c r="BU8" s="10"/>
      <c r="BV8" s="279">
        <v>10.0</v>
      </c>
      <c r="BW8" s="9"/>
      <c r="BX8" s="10"/>
      <c r="BY8" s="279">
        <v>10.0</v>
      </c>
      <c r="BZ8" s="9"/>
      <c r="CA8" s="10"/>
      <c r="CB8" s="279">
        <v>10.0</v>
      </c>
      <c r="CC8" s="9"/>
      <c r="CD8" s="10"/>
      <c r="CE8" s="279">
        <v>10.0</v>
      </c>
      <c r="CF8" s="9"/>
      <c r="CG8" s="10"/>
      <c r="CH8" s="279">
        <v>10.0</v>
      </c>
      <c r="CI8" s="9"/>
      <c r="CJ8" s="10"/>
      <c r="CK8" s="279">
        <v>10.0</v>
      </c>
      <c r="CL8" s="9"/>
      <c r="CM8" s="10"/>
      <c r="CN8" s="279">
        <v>10.0</v>
      </c>
      <c r="CO8" s="9"/>
      <c r="CP8" s="10"/>
      <c r="CQ8" s="220"/>
      <c r="CR8" s="249">
        <v>10000.0</v>
      </c>
      <c r="CS8" s="12"/>
      <c r="CT8" s="13"/>
      <c r="CU8" s="268" t="s">
        <v>38</v>
      </c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3"/>
      <c r="DH8" s="251">
        <f t="shared" si="1"/>
        <v>0</v>
      </c>
      <c r="DI8" s="12"/>
      <c r="DJ8" s="13"/>
      <c r="DK8" s="252">
        <v>5.0</v>
      </c>
      <c r="DL8" s="12"/>
      <c r="DM8" s="13"/>
      <c r="DN8" s="253">
        <f t="shared" si="2"/>
        <v>0</v>
      </c>
      <c r="DO8" s="12"/>
      <c r="DP8" s="13"/>
      <c r="DQ8" s="251">
        <f t="shared" si="4"/>
        <v>0</v>
      </c>
      <c r="DR8" s="12"/>
      <c r="DS8" s="13"/>
      <c r="DT8" s="254">
        <f t="shared" si="5"/>
        <v>0</v>
      </c>
      <c r="DU8" s="12"/>
      <c r="DV8" s="13"/>
      <c r="DW8" s="255" t="str">
        <f t="shared" si="3"/>
        <v>#REF!</v>
      </c>
      <c r="DX8" s="12"/>
      <c r="DY8" s="13"/>
      <c r="EA8" s="256" t="s">
        <v>39</v>
      </c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6"/>
      <c r="EO8" s="257" t="str">
        <f>DH7*100/DH6</f>
        <v>#DIV/0!</v>
      </c>
      <c r="EP8" s="16"/>
      <c r="EQ8" s="257" t="str">
        <f>((DH7*100/DH6)+#REF!)/2</f>
        <v>#DIV/0!</v>
      </c>
      <c r="ER8" s="16"/>
      <c r="ET8" s="258" t="s">
        <v>40</v>
      </c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9"/>
      <c r="FJ8" s="259">
        <f>sum(AX17:CP17)</f>
        <v>0</v>
      </c>
      <c r="FK8" s="18"/>
      <c r="FL8" s="19"/>
      <c r="FN8" s="280" t="s">
        <v>41</v>
      </c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2"/>
      <c r="FZ8" s="281">
        <v>200.0</v>
      </c>
      <c r="GA8" s="22"/>
      <c r="GB8" s="282"/>
      <c r="GC8" s="283"/>
      <c r="GD8" s="282"/>
      <c r="GE8" s="283"/>
      <c r="GF8" s="283"/>
      <c r="GG8" s="282"/>
      <c r="GH8" s="283"/>
      <c r="GI8" s="283"/>
      <c r="GJ8" s="283"/>
      <c r="GK8" s="282"/>
      <c r="GL8" s="282"/>
      <c r="GM8" s="283"/>
      <c r="GN8" s="282"/>
      <c r="GO8" s="283"/>
      <c r="GP8" s="283"/>
      <c r="GQ8" s="282"/>
      <c r="GR8" s="282"/>
      <c r="GS8" s="283"/>
      <c r="GT8" s="283"/>
      <c r="GU8" s="282"/>
      <c r="GV8" s="283"/>
      <c r="GW8" s="283"/>
      <c r="GX8" s="283"/>
      <c r="GY8" s="282"/>
      <c r="GZ8" s="283"/>
      <c r="HA8" s="283"/>
      <c r="HB8" s="283"/>
      <c r="HC8" s="282"/>
      <c r="HD8" s="283"/>
      <c r="HE8" s="283"/>
      <c r="HF8" s="284"/>
      <c r="HG8" s="285">
        <f t="shared" ref="HG8:HG13" si="6">sum(GB8:HF8)*FZ8</f>
        <v>0</v>
      </c>
      <c r="HH8" s="240"/>
      <c r="HI8" s="241"/>
      <c r="HJ8" s="35"/>
    </row>
    <row r="9" ht="15.0" customHeight="1">
      <c r="A9" s="54"/>
      <c r="B9" s="245"/>
      <c r="D9" s="286" t="s">
        <v>42</v>
      </c>
      <c r="E9" s="5"/>
      <c r="F9" s="5"/>
      <c r="G9" s="5"/>
      <c r="H9" s="5"/>
      <c r="I9" s="5"/>
      <c r="J9" s="5"/>
      <c r="K9" s="5"/>
      <c r="L9" s="5"/>
      <c r="M9" s="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T9" s="287">
        <f>SUM(AX9:CO9)</f>
        <v>2500</v>
      </c>
      <c r="AU9" s="9"/>
      <c r="AV9" s="9"/>
      <c r="AW9" s="10"/>
      <c r="AX9" s="288">
        <f>(AX6*AX8)/100</f>
        <v>2500</v>
      </c>
      <c r="AY9" s="9"/>
      <c r="AZ9" s="10"/>
      <c r="BA9" s="288">
        <f>(BA6*BA8)/100</f>
        <v>0</v>
      </c>
      <c r="BB9" s="9"/>
      <c r="BC9" s="10"/>
      <c r="BD9" s="288">
        <f>(BD6*BD8)/100</f>
        <v>0</v>
      </c>
      <c r="BE9" s="9"/>
      <c r="BF9" s="10"/>
      <c r="BG9" s="288">
        <f>(BG6*BG8)/100</f>
        <v>0</v>
      </c>
      <c r="BH9" s="9"/>
      <c r="BI9" s="10"/>
      <c r="BJ9" s="288">
        <f>(BJ6*BJ8)/100</f>
        <v>0</v>
      </c>
      <c r="BK9" s="9"/>
      <c r="BL9" s="10"/>
      <c r="BM9" s="288">
        <f>(BM6*BM8)/100</f>
        <v>0</v>
      </c>
      <c r="BN9" s="9"/>
      <c r="BO9" s="10"/>
      <c r="BP9" s="288">
        <f>(BP6*BP8)/100</f>
        <v>0</v>
      </c>
      <c r="BQ9" s="9"/>
      <c r="BR9" s="10"/>
      <c r="BS9" s="288">
        <f>(BS6*BS8)/100</f>
        <v>0</v>
      </c>
      <c r="BT9" s="9"/>
      <c r="BU9" s="10"/>
      <c r="BV9" s="288">
        <f>(BV6*BV8)/100</f>
        <v>0</v>
      </c>
      <c r="BW9" s="9"/>
      <c r="BX9" s="10"/>
      <c r="BY9" s="288">
        <f>(BY6*BY8)/100</f>
        <v>0</v>
      </c>
      <c r="BZ9" s="9"/>
      <c r="CA9" s="10"/>
      <c r="CB9" s="288">
        <f>(CB6*CB8)/100</f>
        <v>0</v>
      </c>
      <c r="CC9" s="9"/>
      <c r="CD9" s="10"/>
      <c r="CE9" s="288">
        <f>(CE6*CE8)/100</f>
        <v>0</v>
      </c>
      <c r="CF9" s="9"/>
      <c r="CG9" s="10"/>
      <c r="CH9" s="288">
        <f>(CH6*CH8)/100</f>
        <v>0</v>
      </c>
      <c r="CI9" s="9"/>
      <c r="CJ9" s="10"/>
      <c r="CK9" s="288">
        <f>(CK6*CK8)/100</f>
        <v>0</v>
      </c>
      <c r="CL9" s="9"/>
      <c r="CM9" s="10"/>
      <c r="CN9" s="288">
        <f>(CN6*CN8)/100</f>
        <v>0</v>
      </c>
      <c r="CO9" s="9"/>
      <c r="CP9" s="10"/>
      <c r="CQ9" s="220"/>
      <c r="CR9" s="249">
        <v>2500.0</v>
      </c>
      <c r="CS9" s="12"/>
      <c r="CT9" s="13"/>
      <c r="CU9" s="250" t="s">
        <v>43</v>
      </c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3"/>
      <c r="DH9" s="251">
        <f t="shared" si="1"/>
        <v>0</v>
      </c>
      <c r="DI9" s="12"/>
      <c r="DJ9" s="13"/>
      <c r="DK9" s="252">
        <v>2.0</v>
      </c>
      <c r="DL9" s="12"/>
      <c r="DM9" s="13"/>
      <c r="DN9" s="253">
        <f t="shared" si="2"/>
        <v>0</v>
      </c>
      <c r="DO9" s="12"/>
      <c r="DP9" s="13"/>
      <c r="DQ9" s="251">
        <f t="shared" si="4"/>
        <v>0</v>
      </c>
      <c r="DR9" s="12"/>
      <c r="DS9" s="13"/>
      <c r="DT9" s="254">
        <f t="shared" si="5"/>
        <v>0</v>
      </c>
      <c r="DU9" s="12"/>
      <c r="DV9" s="13"/>
      <c r="DW9" s="255" t="str">
        <f t="shared" si="3"/>
        <v>#REF!</v>
      </c>
      <c r="DX9" s="12"/>
      <c r="DY9" s="13"/>
      <c r="EA9" s="256" t="s">
        <v>44</v>
      </c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6"/>
      <c r="EO9" s="257" t="str">
        <f>DH8*100/DH6</f>
        <v>#DIV/0!</v>
      </c>
      <c r="EP9" s="16"/>
      <c r="EQ9" s="257" t="str">
        <f>((DH8*100/DH6)+#REF!)/2</f>
        <v>#DIV/0!</v>
      </c>
      <c r="ER9" s="16"/>
      <c r="ET9" s="258" t="s">
        <v>45</v>
      </c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9"/>
      <c r="FJ9" s="259">
        <f>AT9</f>
        <v>2500</v>
      </c>
      <c r="FK9" s="18"/>
      <c r="FL9" s="19"/>
      <c r="FN9" s="280" t="s">
        <v>46</v>
      </c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2"/>
      <c r="FZ9" s="281">
        <v>200.0</v>
      </c>
      <c r="GA9" s="22"/>
      <c r="GB9" s="282"/>
      <c r="GC9" s="283"/>
      <c r="GD9" s="282"/>
      <c r="GE9" s="283"/>
      <c r="GF9" s="283"/>
      <c r="GG9" s="283"/>
      <c r="GH9" s="283"/>
      <c r="GI9" s="282"/>
      <c r="GJ9" s="283"/>
      <c r="GK9" s="283"/>
      <c r="GL9" s="283"/>
      <c r="GM9" s="283"/>
      <c r="GN9" s="283"/>
      <c r="GO9" s="283"/>
      <c r="GP9" s="283"/>
      <c r="GQ9" s="283"/>
      <c r="GR9" s="283"/>
      <c r="GS9" s="283"/>
      <c r="GT9" s="283"/>
      <c r="GU9" s="283"/>
      <c r="GV9" s="283"/>
      <c r="GW9" s="283"/>
      <c r="GX9" s="283"/>
      <c r="GY9" s="283"/>
      <c r="GZ9" s="283"/>
      <c r="HA9" s="283"/>
      <c r="HB9" s="283"/>
      <c r="HC9" s="283"/>
      <c r="HD9" s="283"/>
      <c r="HE9" s="283"/>
      <c r="HF9" s="289"/>
      <c r="HG9" s="290">
        <f t="shared" si="6"/>
        <v>0</v>
      </c>
      <c r="HH9" s="291"/>
      <c r="HI9" s="292"/>
      <c r="HJ9" s="35"/>
    </row>
    <row r="10" ht="15.0" customHeight="1">
      <c r="A10" s="54"/>
      <c r="B10" s="245"/>
      <c r="D10" s="293" t="s">
        <v>32</v>
      </c>
      <c r="E10" s="5"/>
      <c r="F10" s="5"/>
      <c r="G10" s="5"/>
      <c r="H10" s="5"/>
      <c r="I10" s="5"/>
      <c r="J10" s="5"/>
      <c r="K10" s="5"/>
      <c r="L10" s="5"/>
      <c r="M10" s="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T10" s="277" t="s">
        <v>47</v>
      </c>
      <c r="AU10" s="9"/>
      <c r="AV10" s="10"/>
      <c r="AW10" s="278" t="s">
        <v>37</v>
      </c>
      <c r="AX10" s="279"/>
      <c r="AY10" s="9"/>
      <c r="AZ10" s="10"/>
      <c r="BA10" s="279">
        <v>5.0</v>
      </c>
      <c r="BB10" s="9"/>
      <c r="BC10" s="10"/>
      <c r="BD10" s="279">
        <v>5.0</v>
      </c>
      <c r="BE10" s="9"/>
      <c r="BF10" s="10"/>
      <c r="BG10" s="279">
        <v>5.0</v>
      </c>
      <c r="BH10" s="9"/>
      <c r="BI10" s="10"/>
      <c r="BJ10" s="279">
        <v>5.0</v>
      </c>
      <c r="BK10" s="9"/>
      <c r="BL10" s="10"/>
      <c r="BM10" s="279">
        <v>5.0</v>
      </c>
      <c r="BN10" s="9"/>
      <c r="BO10" s="10"/>
      <c r="BP10" s="279">
        <v>5.0</v>
      </c>
      <c r="BQ10" s="9"/>
      <c r="BR10" s="10"/>
      <c r="BS10" s="279">
        <v>5.0</v>
      </c>
      <c r="BT10" s="9"/>
      <c r="BU10" s="10"/>
      <c r="BV10" s="279">
        <v>5.0</v>
      </c>
      <c r="BW10" s="9"/>
      <c r="BX10" s="10"/>
      <c r="BY10" s="279">
        <v>5.0</v>
      </c>
      <c r="BZ10" s="9"/>
      <c r="CA10" s="10"/>
      <c r="CB10" s="279">
        <v>5.0</v>
      </c>
      <c r="CC10" s="9"/>
      <c r="CD10" s="10"/>
      <c r="CE10" s="279">
        <v>5.0</v>
      </c>
      <c r="CF10" s="9"/>
      <c r="CG10" s="10"/>
      <c r="CH10" s="279">
        <v>5.0</v>
      </c>
      <c r="CI10" s="9"/>
      <c r="CJ10" s="10"/>
      <c r="CK10" s="279">
        <v>5.0</v>
      </c>
      <c r="CL10" s="9"/>
      <c r="CM10" s="10"/>
      <c r="CN10" s="279">
        <v>5.0</v>
      </c>
      <c r="CO10" s="9"/>
      <c r="CP10" s="10"/>
      <c r="CQ10" s="220"/>
      <c r="CR10" s="249"/>
      <c r="CS10" s="12"/>
      <c r="CT10" s="13"/>
      <c r="CU10" s="268" t="s">
        <v>48</v>
      </c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3"/>
      <c r="DH10" s="251">
        <f t="shared" si="1"/>
        <v>0</v>
      </c>
      <c r="DI10" s="12"/>
      <c r="DJ10" s="13"/>
      <c r="DK10" s="252">
        <v>0.0</v>
      </c>
      <c r="DL10" s="12"/>
      <c r="DM10" s="13"/>
      <c r="DN10" s="253">
        <f t="shared" si="2"/>
        <v>0</v>
      </c>
      <c r="DO10" s="12"/>
      <c r="DP10" s="13"/>
      <c r="DQ10" s="251">
        <v>0.0</v>
      </c>
      <c r="DR10" s="12"/>
      <c r="DS10" s="13"/>
      <c r="DT10" s="254">
        <v>0.0</v>
      </c>
      <c r="DU10" s="12"/>
      <c r="DV10" s="13"/>
      <c r="DW10" s="255" t="str">
        <f t="shared" si="3"/>
        <v>#REF!</v>
      </c>
      <c r="DX10" s="12"/>
      <c r="DY10" s="13"/>
      <c r="EA10" s="269" t="s">
        <v>49</v>
      </c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6"/>
      <c r="EO10" s="257" t="str">
        <f>DH9*100/DH6</f>
        <v>#DIV/0!</v>
      </c>
      <c r="EP10" s="16"/>
      <c r="EQ10" s="257" t="str">
        <f>((DH9*100/DH6)+#REF!)/2</f>
        <v>#DIV/0!</v>
      </c>
      <c r="ER10" s="16"/>
      <c r="ET10" s="258" t="s">
        <v>50</v>
      </c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9"/>
      <c r="FJ10" s="259">
        <f>AT11</f>
        <v>0</v>
      </c>
      <c r="FK10" s="18"/>
      <c r="FL10" s="19"/>
      <c r="FN10" s="280" t="s">
        <v>51</v>
      </c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2"/>
      <c r="FZ10" s="281">
        <v>500.0</v>
      </c>
      <c r="GA10" s="22"/>
      <c r="GB10" s="282"/>
      <c r="GC10" s="283"/>
      <c r="GD10" s="283"/>
      <c r="GE10" s="283"/>
      <c r="GF10" s="283"/>
      <c r="GG10" s="283"/>
      <c r="GH10" s="283"/>
      <c r="GI10" s="282"/>
      <c r="GJ10" s="283"/>
      <c r="GK10" s="283"/>
      <c r="GL10" s="283"/>
      <c r="GM10" s="283"/>
      <c r="GN10" s="283"/>
      <c r="GO10" s="283"/>
      <c r="GP10" s="283"/>
      <c r="GQ10" s="283"/>
      <c r="GR10" s="283"/>
      <c r="GS10" s="283"/>
      <c r="GT10" s="283"/>
      <c r="GU10" s="283"/>
      <c r="GV10" s="283"/>
      <c r="GW10" s="283"/>
      <c r="GX10" s="283"/>
      <c r="GY10" s="283"/>
      <c r="GZ10" s="283"/>
      <c r="HA10" s="283"/>
      <c r="HB10" s="283"/>
      <c r="HC10" s="283"/>
      <c r="HD10" s="283"/>
      <c r="HE10" s="283"/>
      <c r="HF10" s="284"/>
      <c r="HG10" s="290">
        <f t="shared" si="6"/>
        <v>0</v>
      </c>
      <c r="HH10" s="291"/>
      <c r="HI10" s="292"/>
      <c r="HJ10" s="35"/>
    </row>
    <row r="11" ht="15.0" customHeight="1">
      <c r="A11" s="54"/>
      <c r="B11" s="245"/>
      <c r="D11" s="293" t="s">
        <v>38</v>
      </c>
      <c r="E11" s="5"/>
      <c r="F11" s="5"/>
      <c r="G11" s="5"/>
      <c r="H11" s="5"/>
      <c r="I11" s="5"/>
      <c r="J11" s="5"/>
      <c r="K11" s="5"/>
      <c r="L11" s="5"/>
      <c r="M11" s="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T11" s="287">
        <f>SUM(AX11:CO11)</f>
        <v>0</v>
      </c>
      <c r="AU11" s="9"/>
      <c r="AV11" s="9"/>
      <c r="AW11" s="10"/>
      <c r="AX11" s="294">
        <f>(AX6*AX10)/100</f>
        <v>0</v>
      </c>
      <c r="AY11" s="9"/>
      <c r="AZ11" s="10"/>
      <c r="BA11" s="294">
        <f>(BA6*BA10)/100</f>
        <v>0</v>
      </c>
      <c r="BB11" s="9"/>
      <c r="BC11" s="10"/>
      <c r="BD11" s="294">
        <f>(BD6*BD10)/100</f>
        <v>0</v>
      </c>
      <c r="BE11" s="9"/>
      <c r="BF11" s="10"/>
      <c r="BG11" s="294">
        <f>(BG6*BG10)/100</f>
        <v>0</v>
      </c>
      <c r="BH11" s="9"/>
      <c r="BI11" s="10"/>
      <c r="BJ11" s="294">
        <f>(BJ6*BJ10)/100</f>
        <v>0</v>
      </c>
      <c r="BK11" s="9"/>
      <c r="BL11" s="10"/>
      <c r="BM11" s="294">
        <f>(BM6*BM10)/100</f>
        <v>0</v>
      </c>
      <c r="BN11" s="9"/>
      <c r="BO11" s="10"/>
      <c r="BP11" s="294">
        <f>(BP6*BP10)/100</f>
        <v>0</v>
      </c>
      <c r="BQ11" s="9"/>
      <c r="BR11" s="10"/>
      <c r="BS11" s="294">
        <f>(BS6*BS10)/100</f>
        <v>0</v>
      </c>
      <c r="BT11" s="9"/>
      <c r="BU11" s="10"/>
      <c r="BV11" s="294">
        <f>(BV6*BV10)/100</f>
        <v>0</v>
      </c>
      <c r="BW11" s="9"/>
      <c r="BX11" s="10"/>
      <c r="BY11" s="294">
        <f>(BY6*BY10)/100</f>
        <v>0</v>
      </c>
      <c r="BZ11" s="9"/>
      <c r="CA11" s="10"/>
      <c r="CB11" s="294">
        <f>(CB6*CB10)/100</f>
        <v>0</v>
      </c>
      <c r="CC11" s="9"/>
      <c r="CD11" s="10"/>
      <c r="CE11" s="294">
        <f>(CE6*CE10)/100</f>
        <v>0</v>
      </c>
      <c r="CF11" s="9"/>
      <c r="CG11" s="10"/>
      <c r="CH11" s="294">
        <f>(CH6*CH10)/100</f>
        <v>0</v>
      </c>
      <c r="CI11" s="9"/>
      <c r="CJ11" s="10"/>
      <c r="CK11" s="294">
        <f>(CK6*CK10)/100</f>
        <v>0</v>
      </c>
      <c r="CL11" s="9"/>
      <c r="CM11" s="10"/>
      <c r="CN11" s="294">
        <f>(CN6*CN10)/100</f>
        <v>0</v>
      </c>
      <c r="CO11" s="9"/>
      <c r="CP11" s="10"/>
      <c r="CQ11" s="220"/>
      <c r="CR11" s="249">
        <v>2500.0</v>
      </c>
      <c r="CS11" s="12"/>
      <c r="CT11" s="13"/>
      <c r="CU11" s="268" t="s">
        <v>95</v>
      </c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3"/>
      <c r="DH11" s="253">
        <f>SUM(O14:AR14)</f>
        <v>0</v>
      </c>
      <c r="DI11" s="12"/>
      <c r="DJ11" s="13"/>
      <c r="DK11" s="295">
        <v>40000.0</v>
      </c>
      <c r="DL11" s="12"/>
      <c r="DM11" s="13"/>
      <c r="DN11" s="253">
        <f t="shared" si="2"/>
        <v>0</v>
      </c>
      <c r="DO11" s="12"/>
      <c r="DP11" s="13"/>
      <c r="DQ11" s="296">
        <f t="shared" ref="DQ11:DQ17" si="7">IF(DH11&lt;DK11,DH11,IF(DH11&gt;=DK11,DK11))</f>
        <v>0</v>
      </c>
      <c r="DR11" s="12"/>
      <c r="DS11" s="13"/>
      <c r="DT11" s="254">
        <f>DQ11*100/DK11</f>
        <v>0</v>
      </c>
      <c r="DU11" s="12"/>
      <c r="DV11" s="13"/>
      <c r="DW11" s="255" t="str">
        <f t="shared" si="3"/>
        <v>#REF!</v>
      </c>
      <c r="DX11" s="12"/>
      <c r="DY11" s="13"/>
      <c r="EA11" s="256" t="s">
        <v>96</v>
      </c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6"/>
      <c r="EO11" s="257" t="str">
        <f>DH8*100/DH7</f>
        <v>#DIV/0!</v>
      </c>
      <c r="EP11" s="16"/>
      <c r="EQ11" s="257" t="str">
        <f>((DH8*100/DH7)+#REF!)/2</f>
        <v>#DIV/0!</v>
      </c>
      <c r="ER11" s="16"/>
      <c r="ET11" s="258" t="s">
        <v>97</v>
      </c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9"/>
      <c r="FJ11" s="259">
        <f>if(FJ7&gt;79,DH11*15%,if(FJ7&lt;80,DH11*5%))</f>
        <v>0</v>
      </c>
      <c r="FK11" s="18"/>
      <c r="FL11" s="19"/>
      <c r="FN11" s="280" t="s">
        <v>55</v>
      </c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2"/>
      <c r="FZ11" s="281">
        <v>800.0</v>
      </c>
      <c r="GA11" s="22"/>
      <c r="GB11" s="282"/>
      <c r="GC11" s="282"/>
      <c r="GD11" s="283"/>
      <c r="GE11" s="282"/>
      <c r="GF11" s="282"/>
      <c r="GG11" s="282"/>
      <c r="GH11" s="282"/>
      <c r="GI11" s="282"/>
      <c r="GJ11" s="282"/>
      <c r="GK11" s="283"/>
      <c r="GL11" s="283"/>
      <c r="GM11" s="282"/>
      <c r="GN11" s="283"/>
      <c r="GO11" s="283"/>
      <c r="GP11" s="283"/>
      <c r="GQ11" s="283"/>
      <c r="GR11" s="283"/>
      <c r="GS11" s="283"/>
      <c r="GT11" s="283"/>
      <c r="GU11" s="283"/>
      <c r="GV11" s="283"/>
      <c r="GW11" s="283"/>
      <c r="GX11" s="283"/>
      <c r="GY11" s="283"/>
      <c r="GZ11" s="283"/>
      <c r="HA11" s="283"/>
      <c r="HB11" s="283"/>
      <c r="HC11" s="283"/>
      <c r="HD11" s="283"/>
      <c r="HE11" s="283"/>
      <c r="HF11" s="284"/>
      <c r="HG11" s="290">
        <f t="shared" si="6"/>
        <v>0</v>
      </c>
      <c r="HH11" s="291"/>
      <c r="HI11" s="292"/>
      <c r="HJ11" s="35"/>
    </row>
    <row r="12" ht="15.0" customHeight="1">
      <c r="A12" s="54"/>
      <c r="B12" s="245"/>
      <c r="D12" s="275" t="s">
        <v>43</v>
      </c>
      <c r="E12" s="5"/>
      <c r="F12" s="5"/>
      <c r="G12" s="5"/>
      <c r="H12" s="5"/>
      <c r="I12" s="5"/>
      <c r="J12" s="5"/>
      <c r="K12" s="5"/>
      <c r="L12" s="5"/>
      <c r="M12" s="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T12" s="297"/>
      <c r="AU12" s="297"/>
      <c r="AV12" s="297"/>
      <c r="AW12" s="297"/>
      <c r="AX12" s="297"/>
      <c r="AY12" s="297"/>
      <c r="AZ12" s="297"/>
      <c r="BA12" s="297"/>
      <c r="BB12" s="297"/>
      <c r="BC12" s="297"/>
      <c r="BD12" s="297"/>
      <c r="BE12" s="297"/>
      <c r="BF12" s="297"/>
      <c r="BG12" s="297"/>
      <c r="BH12" s="297"/>
      <c r="BI12" s="297"/>
      <c r="BJ12" s="297"/>
      <c r="BK12" s="297"/>
      <c r="BL12" s="297"/>
      <c r="BM12" s="297"/>
      <c r="BN12" s="297"/>
      <c r="BO12" s="297"/>
      <c r="BP12" s="297"/>
      <c r="BQ12" s="297"/>
      <c r="BR12" s="297"/>
      <c r="BS12" s="297"/>
      <c r="BT12" s="297"/>
      <c r="BU12" s="297"/>
      <c r="BV12" s="297"/>
      <c r="BW12" s="297"/>
      <c r="BX12" s="297"/>
      <c r="BY12" s="297"/>
      <c r="BZ12" s="297"/>
      <c r="CA12" s="297"/>
      <c r="CB12" s="297"/>
      <c r="CC12" s="297"/>
      <c r="CD12" s="297"/>
      <c r="CE12" s="297"/>
      <c r="CF12" s="297"/>
      <c r="CG12" s="297"/>
      <c r="CH12" s="297"/>
      <c r="CI12" s="297"/>
      <c r="CJ12" s="297"/>
      <c r="CK12" s="297"/>
      <c r="CL12" s="297"/>
      <c r="CM12" s="297"/>
      <c r="CN12" s="297"/>
      <c r="CO12" s="297"/>
      <c r="CP12" s="297"/>
      <c r="CQ12" s="220"/>
      <c r="CR12" s="249">
        <v>10000.0</v>
      </c>
      <c r="CS12" s="12"/>
      <c r="CT12" s="13"/>
      <c r="CU12" s="298" t="s">
        <v>98</v>
      </c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23"/>
      <c r="DH12" s="299">
        <f>sum(DH11)</f>
        <v>0</v>
      </c>
      <c r="DI12" s="24"/>
      <c r="DJ12" s="223"/>
      <c r="DK12" s="300">
        <v>80000.0</v>
      </c>
      <c r="DL12" s="12"/>
      <c r="DM12" s="13"/>
      <c r="DN12" s="253">
        <f t="shared" si="2"/>
        <v>0</v>
      </c>
      <c r="DO12" s="12"/>
      <c r="DP12" s="13"/>
      <c r="DQ12" s="296">
        <f t="shared" si="7"/>
        <v>0</v>
      </c>
      <c r="DR12" s="12"/>
      <c r="DS12" s="13"/>
      <c r="DT12" s="301">
        <f t="shared" ref="DT12:DT17" si="8">DH12*100/DK12</f>
        <v>0</v>
      </c>
      <c r="DU12" s="12"/>
      <c r="DV12" s="13"/>
      <c r="DW12" s="302" t="str">
        <f t="shared" si="3"/>
        <v>#REF!</v>
      </c>
      <c r="DX12" s="12"/>
      <c r="DY12" s="13"/>
      <c r="DZ12" s="59"/>
      <c r="EA12" s="256" t="s">
        <v>58</v>
      </c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6"/>
      <c r="EO12" s="257" t="str">
        <f>DH9*100/DH7</f>
        <v>#DIV/0!</v>
      </c>
      <c r="EP12" s="16"/>
      <c r="EQ12" s="257" t="str">
        <f>((DH9*100/DH7)+#REF!)/2</f>
        <v>#DIV/0!</v>
      </c>
      <c r="ER12" s="16"/>
      <c r="ES12" s="59"/>
      <c r="ET12" s="258" t="s">
        <v>99</v>
      </c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9"/>
      <c r="FJ12" s="259">
        <f>if(FJ7&gt;79,DH11*15%,if(FJ7&lt;80,DH11*5%))+FJ6+FJ8+FJ9+FJ10</f>
        <v>2500</v>
      </c>
      <c r="FK12" s="18"/>
      <c r="FL12" s="19"/>
      <c r="FN12" s="280" t="s">
        <v>60</v>
      </c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2"/>
      <c r="FZ12" s="281">
        <v>1500.0</v>
      </c>
      <c r="GA12" s="22"/>
      <c r="GB12" s="283"/>
      <c r="GC12" s="283"/>
      <c r="GD12" s="283"/>
      <c r="GE12" s="283"/>
      <c r="GF12" s="283"/>
      <c r="GG12" s="283"/>
      <c r="GH12" s="283"/>
      <c r="GI12" s="282"/>
      <c r="GJ12" s="282"/>
      <c r="GK12" s="283"/>
      <c r="GL12" s="282"/>
      <c r="GM12" s="282"/>
      <c r="GN12" s="282"/>
      <c r="GO12" s="283"/>
      <c r="GP12" s="283"/>
      <c r="GQ12" s="283"/>
      <c r="GR12" s="283"/>
      <c r="GS12" s="283"/>
      <c r="GT12" s="283"/>
      <c r="GU12" s="283"/>
      <c r="GV12" s="283"/>
      <c r="GW12" s="283"/>
      <c r="GX12" s="283"/>
      <c r="GY12" s="283"/>
      <c r="GZ12" s="283"/>
      <c r="HA12" s="282"/>
      <c r="HB12" s="283"/>
      <c r="HC12" s="283"/>
      <c r="HD12" s="283"/>
      <c r="HE12" s="283"/>
      <c r="HF12" s="284"/>
      <c r="HG12" s="290">
        <f t="shared" si="6"/>
        <v>0</v>
      </c>
      <c r="HH12" s="291"/>
      <c r="HI12" s="292"/>
      <c r="HJ12" s="35"/>
    </row>
    <row r="13" ht="15.0" customHeight="1">
      <c r="A13" s="54"/>
      <c r="B13" s="245"/>
      <c r="D13" s="293" t="s">
        <v>48</v>
      </c>
      <c r="E13" s="5"/>
      <c r="F13" s="5"/>
      <c r="G13" s="5"/>
      <c r="H13" s="5"/>
      <c r="I13" s="5"/>
      <c r="J13" s="5"/>
      <c r="K13" s="5"/>
      <c r="L13" s="5"/>
      <c r="M13" s="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T13" s="303" t="s">
        <v>56</v>
      </c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10"/>
      <c r="CQ13" s="220"/>
      <c r="CR13" s="249"/>
      <c r="CS13" s="12"/>
      <c r="CT13" s="13"/>
      <c r="CU13" s="298" t="s">
        <v>100</v>
      </c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23"/>
      <c r="DH13" s="299">
        <f>sum(AX16:CP16)</f>
        <v>0</v>
      </c>
      <c r="DI13" s="24"/>
      <c r="DJ13" s="223"/>
      <c r="DK13" s="300">
        <v>0.0</v>
      </c>
      <c r="DL13" s="12"/>
      <c r="DM13" s="13"/>
      <c r="DN13" s="253" t="str">
        <f t="shared" si="2"/>
        <v>#DIV/0!</v>
      </c>
      <c r="DO13" s="12"/>
      <c r="DP13" s="13"/>
      <c r="DQ13" s="296">
        <f t="shared" si="7"/>
        <v>0</v>
      </c>
      <c r="DR13" s="12"/>
      <c r="DS13" s="13"/>
      <c r="DT13" s="301" t="str">
        <f t="shared" si="8"/>
        <v>#DIV/0!</v>
      </c>
      <c r="DU13" s="12"/>
      <c r="DV13" s="13"/>
      <c r="DW13" s="255" t="str">
        <f t="shared" si="3"/>
        <v>#REF!</v>
      </c>
      <c r="DX13" s="12"/>
      <c r="DY13" s="13"/>
      <c r="DZ13" s="304"/>
      <c r="EA13" s="256" t="s">
        <v>71</v>
      </c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6"/>
      <c r="EO13" s="257" t="str">
        <f>DH9*100/DH8</f>
        <v>#DIV/0!</v>
      </c>
      <c r="EP13" s="16"/>
      <c r="EQ13" s="257" t="str">
        <f>((DH9*100/DH8)+#REF!)/2</f>
        <v>#DIV/0!</v>
      </c>
      <c r="ER13" s="16"/>
      <c r="ES13" s="220"/>
      <c r="ET13" s="305" t="s">
        <v>24</v>
      </c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9"/>
      <c r="FJ13" s="306">
        <f>if(DH12&gt;=DK12,FJ12+CR12,if(DH12&lt;DK12,FJ12))-HG14</f>
        <v>2500</v>
      </c>
      <c r="FK13" s="18"/>
      <c r="FL13" s="19"/>
      <c r="FM13" s="59"/>
      <c r="FN13" s="307" t="s">
        <v>72</v>
      </c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2"/>
      <c r="FZ13" s="281">
        <v>1000.0</v>
      </c>
      <c r="GA13" s="22"/>
      <c r="GB13" s="308"/>
      <c r="GC13" s="309"/>
      <c r="GD13" s="308"/>
      <c r="GE13" s="308"/>
      <c r="GF13" s="308"/>
      <c r="GG13" s="308"/>
      <c r="GH13" s="309"/>
      <c r="GI13" s="308"/>
      <c r="GJ13" s="308"/>
      <c r="GK13" s="308"/>
      <c r="GL13" s="309"/>
      <c r="GM13" s="308"/>
      <c r="GN13" s="309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10"/>
      <c r="HF13" s="311"/>
      <c r="HG13" s="290">
        <f t="shared" si="6"/>
        <v>0</v>
      </c>
      <c r="HH13" s="291"/>
      <c r="HI13" s="292"/>
      <c r="HJ13" s="35"/>
    </row>
    <row r="14" ht="15.0" customHeight="1">
      <c r="A14" s="54"/>
      <c r="B14" s="245"/>
      <c r="D14" s="312" t="s">
        <v>52</v>
      </c>
      <c r="E14" s="27"/>
      <c r="F14" s="27"/>
      <c r="G14" s="27"/>
      <c r="H14" s="27"/>
      <c r="I14" s="27"/>
      <c r="J14" s="27"/>
      <c r="K14" s="27"/>
      <c r="L14" s="27"/>
      <c r="M14" s="28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  <c r="AT14" s="227" t="s">
        <v>9</v>
      </c>
      <c r="AU14" s="228"/>
      <c r="AV14" s="228"/>
      <c r="AW14" s="229"/>
      <c r="AX14" s="314"/>
      <c r="AY14" s="228"/>
      <c r="AZ14" s="229"/>
      <c r="BA14" s="314"/>
      <c r="BB14" s="228"/>
      <c r="BC14" s="229"/>
      <c r="BD14" s="314"/>
      <c r="BE14" s="228"/>
      <c r="BF14" s="229"/>
      <c r="BG14" s="314"/>
      <c r="BH14" s="228"/>
      <c r="BI14" s="229"/>
      <c r="BJ14" s="314"/>
      <c r="BK14" s="228"/>
      <c r="BL14" s="229"/>
      <c r="BM14" s="314"/>
      <c r="BN14" s="228"/>
      <c r="BO14" s="229"/>
      <c r="BP14" s="314"/>
      <c r="BQ14" s="228"/>
      <c r="BR14" s="229"/>
      <c r="BS14" s="314"/>
      <c r="BT14" s="228"/>
      <c r="BU14" s="229"/>
      <c r="BV14" s="314"/>
      <c r="BW14" s="228"/>
      <c r="BX14" s="229"/>
      <c r="BY14" s="314"/>
      <c r="BZ14" s="228"/>
      <c r="CA14" s="229"/>
      <c r="CB14" s="314"/>
      <c r="CC14" s="228"/>
      <c r="CD14" s="229"/>
      <c r="CE14" s="314"/>
      <c r="CF14" s="228"/>
      <c r="CG14" s="229"/>
      <c r="CH14" s="314"/>
      <c r="CI14" s="228"/>
      <c r="CJ14" s="229"/>
      <c r="CK14" s="314"/>
      <c r="CL14" s="228"/>
      <c r="CM14" s="229"/>
      <c r="CN14" s="314"/>
      <c r="CO14" s="228"/>
      <c r="CP14" s="229"/>
      <c r="CQ14" s="220"/>
      <c r="CR14" s="249"/>
      <c r="CS14" s="12"/>
      <c r="CT14" s="13"/>
      <c r="CU14" s="298" t="s">
        <v>105</v>
      </c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23"/>
      <c r="DH14" s="299">
        <f>sum(DH11+DH13)</f>
        <v>0</v>
      </c>
      <c r="DI14" s="24"/>
      <c r="DJ14" s="223"/>
      <c r="DK14" s="300">
        <v>0.0</v>
      </c>
      <c r="DL14" s="12"/>
      <c r="DM14" s="13"/>
      <c r="DN14" s="253" t="str">
        <f t="shared" si="2"/>
        <v>#DIV/0!</v>
      </c>
      <c r="DO14" s="12"/>
      <c r="DP14" s="13"/>
      <c r="DQ14" s="296">
        <f t="shared" si="7"/>
        <v>0</v>
      </c>
      <c r="DR14" s="12"/>
      <c r="DS14" s="13"/>
      <c r="DT14" s="301" t="str">
        <f t="shared" si="8"/>
        <v>#DIV/0!</v>
      </c>
      <c r="DU14" s="12"/>
      <c r="DV14" s="13"/>
      <c r="DW14" s="255" t="str">
        <f t="shared" si="3"/>
        <v>#REF!</v>
      </c>
      <c r="DX14" s="12"/>
      <c r="DY14" s="13"/>
      <c r="DZ14" s="315"/>
      <c r="EA14" s="316"/>
      <c r="EB14" s="316"/>
      <c r="EC14" s="316"/>
      <c r="ED14" s="316"/>
      <c r="EE14" s="316"/>
      <c r="EF14" s="316"/>
      <c r="EG14" s="316"/>
      <c r="EH14" s="316"/>
      <c r="EI14" s="316"/>
      <c r="EJ14" s="316"/>
      <c r="EK14" s="316"/>
      <c r="EL14" s="316"/>
      <c r="EM14" s="316"/>
      <c r="EN14" s="316"/>
      <c r="EO14" s="316"/>
      <c r="EP14" s="316"/>
      <c r="EQ14" s="316"/>
      <c r="ER14" s="316"/>
      <c r="ES14" s="317"/>
      <c r="ET14" s="318"/>
      <c r="EU14" s="318"/>
      <c r="EV14" s="318"/>
      <c r="EW14" s="318"/>
      <c r="EX14" s="318"/>
      <c r="EY14" s="318"/>
      <c r="EZ14" s="318"/>
      <c r="FA14" s="318"/>
      <c r="FB14" s="318"/>
      <c r="FC14" s="318"/>
      <c r="FD14" s="318"/>
      <c r="FE14" s="318"/>
      <c r="FF14" s="318"/>
      <c r="FG14" s="318"/>
      <c r="FH14" s="319"/>
      <c r="FI14" s="320"/>
      <c r="FJ14" s="321"/>
      <c r="FK14" s="322"/>
      <c r="FL14" s="320"/>
      <c r="FM14" s="317"/>
      <c r="FN14" s="316"/>
      <c r="FO14" s="316"/>
      <c r="FP14" s="316"/>
      <c r="FQ14" s="316"/>
      <c r="FR14" s="316"/>
      <c r="FS14" s="316"/>
      <c r="FT14" s="316"/>
      <c r="FU14" s="316"/>
      <c r="FV14" s="316"/>
      <c r="FW14" s="316"/>
      <c r="FX14" s="316"/>
      <c r="FY14" s="316"/>
      <c r="FZ14" s="316"/>
      <c r="GA14" s="316"/>
      <c r="GB14" s="316"/>
      <c r="GC14" s="316"/>
      <c r="GD14" s="316"/>
      <c r="GE14" s="316"/>
      <c r="GF14" s="316"/>
      <c r="GG14" s="316"/>
      <c r="GH14" s="316"/>
      <c r="GI14" s="316"/>
      <c r="GJ14" s="316"/>
      <c r="GK14" s="316"/>
      <c r="GL14" s="316"/>
      <c r="GM14" s="316"/>
      <c r="GN14" s="316"/>
      <c r="GO14" s="316"/>
      <c r="GP14" s="316"/>
      <c r="GQ14" s="316"/>
      <c r="GR14" s="316"/>
      <c r="GS14" s="316"/>
      <c r="GT14" s="316"/>
      <c r="GU14" s="316"/>
      <c r="GV14" s="316"/>
      <c r="GW14" s="316"/>
      <c r="GX14" s="316"/>
      <c r="GY14" s="316"/>
      <c r="GZ14" s="316"/>
      <c r="HA14" s="316"/>
      <c r="HB14" s="316"/>
      <c r="HC14" s="316"/>
      <c r="HD14" s="323"/>
      <c r="HE14" s="324" t="s">
        <v>24</v>
      </c>
      <c r="HF14" s="22"/>
      <c r="HG14" s="325">
        <f>sum(HG8:HG13)</f>
        <v>0</v>
      </c>
      <c r="HH14" s="326"/>
      <c r="HI14" s="327"/>
      <c r="HJ14" s="60"/>
    </row>
    <row r="15" ht="15.0" customHeight="1">
      <c r="A15" s="54"/>
      <c r="B15" s="245"/>
      <c r="D15" s="55"/>
      <c r="M15" s="33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T15" s="246"/>
      <c r="AU15" s="247"/>
      <c r="AV15" s="247"/>
      <c r="AW15" s="248"/>
      <c r="AX15" s="246"/>
      <c r="AY15" s="247"/>
      <c r="AZ15" s="248"/>
      <c r="BA15" s="246"/>
      <c r="BB15" s="247"/>
      <c r="BC15" s="248"/>
      <c r="BD15" s="246"/>
      <c r="BE15" s="247"/>
      <c r="BF15" s="248"/>
      <c r="BG15" s="246"/>
      <c r="BH15" s="247"/>
      <c r="BI15" s="248"/>
      <c r="BJ15" s="246"/>
      <c r="BK15" s="247"/>
      <c r="BL15" s="248"/>
      <c r="BM15" s="246"/>
      <c r="BN15" s="247"/>
      <c r="BO15" s="248"/>
      <c r="BP15" s="246"/>
      <c r="BQ15" s="247"/>
      <c r="BR15" s="248"/>
      <c r="BS15" s="246"/>
      <c r="BT15" s="247"/>
      <c r="BU15" s="248"/>
      <c r="BV15" s="246"/>
      <c r="BW15" s="247"/>
      <c r="BX15" s="248"/>
      <c r="BY15" s="246"/>
      <c r="BZ15" s="247"/>
      <c r="CA15" s="248"/>
      <c r="CB15" s="246"/>
      <c r="CC15" s="247"/>
      <c r="CD15" s="248"/>
      <c r="CE15" s="246"/>
      <c r="CF15" s="247"/>
      <c r="CG15" s="248"/>
      <c r="CH15" s="246"/>
      <c r="CI15" s="247"/>
      <c r="CJ15" s="248"/>
      <c r="CK15" s="246"/>
      <c r="CL15" s="247"/>
      <c r="CM15" s="248"/>
      <c r="CN15" s="246"/>
      <c r="CO15" s="247"/>
      <c r="CP15" s="248"/>
      <c r="CQ15" s="220"/>
      <c r="CR15" s="249"/>
      <c r="CS15" s="12"/>
      <c r="CT15" s="13"/>
      <c r="CU15" s="328" t="s">
        <v>73</v>
      </c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23"/>
      <c r="DH15" s="299" t="str">
        <f>DH11/DH9</f>
        <v>#DIV/0!</v>
      </c>
      <c r="DI15" s="24"/>
      <c r="DJ15" s="223"/>
      <c r="DK15" s="300">
        <v>25000.0</v>
      </c>
      <c r="DL15" s="12"/>
      <c r="DM15" s="13"/>
      <c r="DN15" s="253" t="str">
        <f t="shared" si="2"/>
        <v>#DIV/0!</v>
      </c>
      <c r="DO15" s="12"/>
      <c r="DP15" s="13"/>
      <c r="DQ15" s="296" t="str">
        <f t="shared" si="7"/>
        <v>#DIV/0!</v>
      </c>
      <c r="DR15" s="12"/>
      <c r="DS15" s="13"/>
      <c r="DT15" s="301" t="str">
        <f t="shared" si="8"/>
        <v>#DIV/0!</v>
      </c>
      <c r="DU15" s="12"/>
      <c r="DV15" s="13"/>
      <c r="DW15" s="255" t="str">
        <f t="shared" si="3"/>
        <v>#DIV/0!</v>
      </c>
      <c r="DX15" s="12"/>
      <c r="DY15" s="13"/>
      <c r="DZ15" s="315"/>
      <c r="EA15" s="317"/>
      <c r="EB15" s="317"/>
      <c r="EC15" s="317"/>
      <c r="ED15" s="317"/>
      <c r="EE15" s="317"/>
      <c r="EF15" s="317"/>
      <c r="EG15" s="317"/>
      <c r="EH15" s="317"/>
      <c r="EI15" s="317"/>
      <c r="EJ15" s="317"/>
      <c r="EK15" s="317"/>
      <c r="EL15" s="317"/>
      <c r="EM15" s="317"/>
      <c r="EN15" s="317"/>
      <c r="EO15" s="317"/>
      <c r="EP15" s="317"/>
      <c r="EQ15" s="317"/>
      <c r="ER15" s="317"/>
      <c r="ES15" s="317"/>
      <c r="ET15" s="317"/>
      <c r="EU15" s="317"/>
      <c r="EV15" s="317"/>
      <c r="EW15" s="317"/>
      <c r="EX15" s="317"/>
      <c r="EY15" s="317"/>
      <c r="EZ15" s="317"/>
      <c r="FA15" s="317"/>
      <c r="FB15" s="317"/>
      <c r="FC15" s="317"/>
      <c r="FD15" s="317"/>
      <c r="FE15" s="317"/>
      <c r="FF15" s="317"/>
      <c r="FG15" s="317"/>
      <c r="FH15" s="317"/>
      <c r="FI15" s="317"/>
      <c r="FJ15" s="317"/>
      <c r="FK15" s="317"/>
      <c r="FL15" s="317"/>
      <c r="FM15" s="317"/>
      <c r="FN15" s="317"/>
      <c r="FO15" s="317"/>
      <c r="FP15" s="317"/>
      <c r="FQ15" s="317"/>
      <c r="FR15" s="317"/>
      <c r="FS15" s="317"/>
      <c r="FT15" s="317"/>
      <c r="FU15" s="317"/>
      <c r="FV15" s="317"/>
      <c r="FW15" s="317"/>
      <c r="FX15" s="317"/>
      <c r="FY15" s="317"/>
      <c r="FZ15" s="317"/>
      <c r="GA15" s="317"/>
      <c r="GB15" s="317"/>
      <c r="GC15" s="317"/>
      <c r="GD15" s="317"/>
      <c r="GE15" s="317"/>
      <c r="GF15" s="317"/>
      <c r="GG15" s="317"/>
      <c r="GH15" s="317"/>
      <c r="GI15" s="317"/>
      <c r="GJ15" s="317"/>
      <c r="GK15" s="317"/>
      <c r="GL15" s="317"/>
      <c r="GM15" s="317"/>
      <c r="GN15" s="317"/>
      <c r="GO15" s="317"/>
      <c r="GP15" s="317"/>
      <c r="GQ15" s="317"/>
      <c r="GR15" s="317"/>
      <c r="GS15" s="317"/>
      <c r="GT15" s="317"/>
      <c r="GU15" s="317"/>
      <c r="GV15" s="317"/>
      <c r="GW15" s="317"/>
      <c r="GX15" s="317"/>
      <c r="GY15" s="317"/>
      <c r="GZ15" s="317"/>
      <c r="HA15" s="317"/>
      <c r="HB15" s="317"/>
      <c r="HC15" s="317"/>
      <c r="HD15" s="317"/>
      <c r="HE15" s="316"/>
      <c r="HF15" s="316"/>
      <c r="HG15" s="316"/>
      <c r="HH15" s="316"/>
      <c r="HI15" s="316"/>
      <c r="HJ15" s="317"/>
    </row>
    <row r="16" ht="15.0" customHeight="1">
      <c r="A16" s="54"/>
      <c r="B16" s="245"/>
      <c r="D16" s="55"/>
      <c r="M16" s="33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T16" s="263" t="s">
        <v>21</v>
      </c>
      <c r="AU16" s="9"/>
      <c r="AV16" s="9"/>
      <c r="AW16" s="10"/>
      <c r="AX16" s="329"/>
      <c r="AY16" s="9"/>
      <c r="AZ16" s="10"/>
      <c r="BA16" s="329"/>
      <c r="BB16" s="9"/>
      <c r="BC16" s="10"/>
      <c r="BD16" s="329"/>
      <c r="BE16" s="9"/>
      <c r="BF16" s="10"/>
      <c r="BG16" s="329"/>
      <c r="BH16" s="9"/>
      <c r="BI16" s="10"/>
      <c r="BJ16" s="329"/>
      <c r="BK16" s="9"/>
      <c r="BL16" s="10"/>
      <c r="BM16" s="329"/>
      <c r="BN16" s="9"/>
      <c r="BO16" s="10"/>
      <c r="BP16" s="329"/>
      <c r="BQ16" s="9"/>
      <c r="BR16" s="10"/>
      <c r="BS16" s="329"/>
      <c r="BT16" s="9"/>
      <c r="BU16" s="10"/>
      <c r="BV16" s="329"/>
      <c r="BW16" s="9"/>
      <c r="BX16" s="10"/>
      <c r="BY16" s="329"/>
      <c r="BZ16" s="9"/>
      <c r="CA16" s="10"/>
      <c r="CB16" s="329"/>
      <c r="CC16" s="9"/>
      <c r="CD16" s="10"/>
      <c r="CE16" s="329"/>
      <c r="CF16" s="9"/>
      <c r="CG16" s="10"/>
      <c r="CH16" s="329"/>
      <c r="CI16" s="9"/>
      <c r="CJ16" s="10"/>
      <c r="CK16" s="329"/>
      <c r="CL16" s="9"/>
      <c r="CM16" s="10"/>
      <c r="CN16" s="329"/>
      <c r="CO16" s="9"/>
      <c r="CP16" s="10"/>
      <c r="CQ16" s="220"/>
      <c r="CR16" s="249"/>
      <c r="CS16" s="12"/>
      <c r="CT16" s="13"/>
      <c r="CU16" s="268" t="s">
        <v>84</v>
      </c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3"/>
      <c r="DH16" s="255" t="str">
        <f>(DH9/DH10)</f>
        <v>#DIV/0!</v>
      </c>
      <c r="DI16" s="12"/>
      <c r="DJ16" s="13"/>
      <c r="DK16" s="330">
        <v>0.0</v>
      </c>
      <c r="DL16" s="12"/>
      <c r="DM16" s="13"/>
      <c r="DN16" s="253" t="str">
        <f t="shared" si="2"/>
        <v>#DIV/0!</v>
      </c>
      <c r="DO16" s="12"/>
      <c r="DP16" s="13"/>
      <c r="DQ16" s="296" t="str">
        <f t="shared" si="7"/>
        <v>#DIV/0!</v>
      </c>
      <c r="DR16" s="12"/>
      <c r="DS16" s="13"/>
      <c r="DT16" s="301" t="str">
        <f t="shared" si="8"/>
        <v>#DIV/0!</v>
      </c>
      <c r="DU16" s="12"/>
      <c r="DV16" s="13"/>
      <c r="DW16" s="255" t="str">
        <f t="shared" si="3"/>
        <v>#DIV/0!</v>
      </c>
      <c r="DX16" s="12"/>
      <c r="DY16" s="13"/>
      <c r="DZ16" s="315"/>
      <c r="EA16" s="317"/>
      <c r="EB16" s="317"/>
      <c r="EC16" s="317"/>
      <c r="ED16" s="317"/>
      <c r="EE16" s="317"/>
      <c r="EF16" s="317"/>
      <c r="EG16" s="317"/>
      <c r="EH16" s="317"/>
      <c r="EI16" s="317"/>
      <c r="EJ16" s="317"/>
      <c r="EK16" s="317"/>
      <c r="EL16" s="317"/>
      <c r="EM16" s="317"/>
      <c r="EN16" s="317"/>
      <c r="EO16" s="317"/>
      <c r="EP16" s="317"/>
      <c r="EQ16" s="317"/>
      <c r="ER16" s="317"/>
      <c r="ES16" s="317"/>
      <c r="ET16" s="317"/>
      <c r="EU16" s="317"/>
      <c r="EV16" s="317"/>
      <c r="EW16" s="317"/>
      <c r="EX16" s="317"/>
      <c r="EY16" s="317"/>
      <c r="EZ16" s="317"/>
      <c r="FA16" s="317"/>
      <c r="FB16" s="317"/>
      <c r="FC16" s="317"/>
      <c r="FD16" s="317"/>
      <c r="FE16" s="317"/>
      <c r="FF16" s="317"/>
      <c r="FG16" s="317"/>
      <c r="FH16" s="317"/>
      <c r="FI16" s="317"/>
      <c r="FJ16" s="317"/>
      <c r="FK16" s="317"/>
      <c r="FL16" s="317"/>
      <c r="FM16" s="317"/>
      <c r="FN16" s="317"/>
      <c r="FO16" s="317"/>
      <c r="FP16" s="317"/>
      <c r="FQ16" s="317"/>
      <c r="FR16" s="317"/>
      <c r="FS16" s="317"/>
      <c r="FT16" s="317"/>
      <c r="FU16" s="317"/>
      <c r="FV16" s="317"/>
      <c r="FW16" s="317"/>
      <c r="FX16" s="317"/>
      <c r="FY16" s="317"/>
      <c r="FZ16" s="317"/>
      <c r="GA16" s="317"/>
      <c r="GB16" s="317"/>
      <c r="GC16" s="317"/>
      <c r="GD16" s="317"/>
      <c r="GE16" s="317"/>
      <c r="GF16" s="317"/>
      <c r="GG16" s="317"/>
      <c r="GH16" s="317"/>
      <c r="GI16" s="317"/>
      <c r="GJ16" s="317"/>
      <c r="GK16" s="317"/>
      <c r="GL16" s="317"/>
      <c r="GM16" s="317"/>
      <c r="GN16" s="317"/>
      <c r="GO16" s="317"/>
      <c r="GP16" s="317"/>
      <c r="GQ16" s="317"/>
      <c r="GR16" s="317"/>
      <c r="GS16" s="317"/>
      <c r="GT16" s="317"/>
      <c r="GU16" s="317"/>
      <c r="GV16" s="317"/>
      <c r="GW16" s="317"/>
      <c r="GX16" s="317"/>
      <c r="GY16" s="317"/>
      <c r="GZ16" s="317"/>
      <c r="HA16" s="317"/>
      <c r="HB16" s="317"/>
      <c r="HC16" s="317"/>
      <c r="HD16" s="317"/>
      <c r="HE16" s="317"/>
      <c r="HF16" s="317"/>
      <c r="HG16" s="317"/>
      <c r="HH16" s="317"/>
      <c r="HI16" s="317"/>
      <c r="HJ16" s="317"/>
    </row>
    <row r="17" ht="15.0" customHeight="1">
      <c r="A17" s="162"/>
      <c r="B17" s="331"/>
      <c r="C17" s="59"/>
      <c r="D17" s="57"/>
      <c r="E17" s="39"/>
      <c r="F17" s="39"/>
      <c r="G17" s="39"/>
      <c r="H17" s="39"/>
      <c r="I17" s="39"/>
      <c r="J17" s="39"/>
      <c r="K17" s="39"/>
      <c r="L17" s="39"/>
      <c r="M17" s="40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59"/>
      <c r="AT17" s="332">
        <v>20.0</v>
      </c>
      <c r="AU17" s="9"/>
      <c r="AV17" s="10"/>
      <c r="AW17" s="333" t="s">
        <v>37</v>
      </c>
      <c r="AX17" s="334">
        <f>AX16*AT17/100</f>
        <v>0</v>
      </c>
      <c r="AY17" s="9"/>
      <c r="AZ17" s="10"/>
      <c r="BA17" s="334">
        <f>BA16*AT17/100</f>
        <v>0</v>
      </c>
      <c r="BB17" s="9"/>
      <c r="BC17" s="10"/>
      <c r="BD17" s="334">
        <f>BD16*AT17/100</f>
        <v>0</v>
      </c>
      <c r="BE17" s="9"/>
      <c r="BF17" s="10"/>
      <c r="BG17" s="334">
        <f>BG16*AT17/100</f>
        <v>0</v>
      </c>
      <c r="BH17" s="9"/>
      <c r="BI17" s="10"/>
      <c r="BJ17" s="334">
        <f>BJ16*AT17/100</f>
        <v>0</v>
      </c>
      <c r="BK17" s="9"/>
      <c r="BL17" s="10"/>
      <c r="BM17" s="334">
        <f>BM16*AT17/100</f>
        <v>0</v>
      </c>
      <c r="BN17" s="9"/>
      <c r="BO17" s="10"/>
      <c r="BP17" s="334">
        <f>BP16*AT17/100</f>
        <v>0</v>
      </c>
      <c r="BQ17" s="9"/>
      <c r="BR17" s="10"/>
      <c r="BS17" s="334">
        <f>BS16*AT17/100</f>
        <v>0</v>
      </c>
      <c r="BT17" s="9"/>
      <c r="BU17" s="10"/>
      <c r="BV17" s="334">
        <f>BV16*AT17/100</f>
        <v>0</v>
      </c>
      <c r="BW17" s="9"/>
      <c r="BX17" s="10"/>
      <c r="BY17" s="334">
        <f>BY16*HH16/100</f>
        <v>0</v>
      </c>
      <c r="BZ17" s="9"/>
      <c r="CA17" s="10"/>
      <c r="CB17" s="334">
        <f>CB16*AT17/100</f>
        <v>0</v>
      </c>
      <c r="CC17" s="9"/>
      <c r="CD17" s="10"/>
      <c r="CE17" s="334">
        <f>CE16*AT17/100</f>
        <v>0</v>
      </c>
      <c r="CF17" s="9"/>
      <c r="CG17" s="10"/>
      <c r="CH17" s="334">
        <f>CH16*AT17/100</f>
        <v>0</v>
      </c>
      <c r="CI17" s="9"/>
      <c r="CJ17" s="10"/>
      <c r="CK17" s="334">
        <f>CK16*AT17/100</f>
        <v>0</v>
      </c>
      <c r="CL17" s="9"/>
      <c r="CM17" s="10"/>
      <c r="CN17" s="334">
        <f>CN16*AT17/100</f>
        <v>0</v>
      </c>
      <c r="CO17" s="9"/>
      <c r="CP17" s="10"/>
      <c r="CQ17" s="335"/>
      <c r="CR17" s="249">
        <f>sum(CR5:CT11,CR13,CR14,CR15,CR16)</f>
        <v>15000</v>
      </c>
      <c r="CS17" s="12"/>
      <c r="CT17" s="13"/>
      <c r="CU17" s="268" t="s">
        <v>34</v>
      </c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3"/>
      <c r="DH17" s="336">
        <f>sum(DT8,DT9,DT11)/3</f>
        <v>0</v>
      </c>
      <c r="DI17" s="12"/>
      <c r="DJ17" s="13"/>
      <c r="DK17" s="330">
        <v>100.0</v>
      </c>
      <c r="DL17" s="12"/>
      <c r="DM17" s="13"/>
      <c r="DN17" s="253">
        <f>sum(DN8,DN9,DN11)</f>
        <v>0</v>
      </c>
      <c r="DO17" s="12"/>
      <c r="DP17" s="13"/>
      <c r="DQ17" s="296">
        <f t="shared" si="7"/>
        <v>0</v>
      </c>
      <c r="DR17" s="12"/>
      <c r="DS17" s="13"/>
      <c r="DT17" s="301">
        <f t="shared" si="8"/>
        <v>0</v>
      </c>
      <c r="DU17" s="12"/>
      <c r="DV17" s="13"/>
      <c r="DW17" s="254" t="str">
        <f t="shared" si="3"/>
        <v>#REF!</v>
      </c>
      <c r="DX17" s="12"/>
      <c r="DY17" s="13"/>
      <c r="DZ17" s="315"/>
      <c r="EA17" s="317"/>
      <c r="EB17" s="317"/>
      <c r="EC17" s="317"/>
      <c r="ED17" s="317"/>
      <c r="EE17" s="317"/>
      <c r="EF17" s="317"/>
      <c r="EG17" s="317"/>
      <c r="EH17" s="317"/>
      <c r="EI17" s="317"/>
      <c r="EJ17" s="317"/>
      <c r="EK17" s="317"/>
      <c r="EL17" s="317"/>
      <c r="EM17" s="317"/>
      <c r="EN17" s="317"/>
      <c r="EO17" s="317"/>
      <c r="EP17" s="317"/>
      <c r="EQ17" s="317"/>
      <c r="ER17" s="317"/>
      <c r="ES17" s="317"/>
      <c r="ET17" s="317"/>
      <c r="EU17" s="317"/>
      <c r="EV17" s="317"/>
      <c r="EW17" s="317"/>
      <c r="EX17" s="317"/>
      <c r="EY17" s="317"/>
      <c r="EZ17" s="317"/>
      <c r="FA17" s="317"/>
      <c r="FB17" s="317"/>
      <c r="FC17" s="317"/>
      <c r="FD17" s="317"/>
      <c r="FE17" s="317"/>
      <c r="FF17" s="317"/>
      <c r="FG17" s="317"/>
      <c r="FH17" s="317"/>
      <c r="FI17" s="317"/>
      <c r="FJ17" s="317"/>
      <c r="FK17" s="317"/>
      <c r="FL17" s="317"/>
      <c r="FM17" s="317"/>
      <c r="FN17" s="317"/>
      <c r="FO17" s="317"/>
      <c r="FP17" s="317"/>
      <c r="FQ17" s="317"/>
      <c r="FR17" s="317"/>
      <c r="FS17" s="317"/>
      <c r="FT17" s="317"/>
      <c r="FU17" s="317"/>
      <c r="FV17" s="317"/>
      <c r="FW17" s="317"/>
      <c r="FX17" s="317"/>
      <c r="FY17" s="317"/>
      <c r="FZ17" s="317"/>
      <c r="GA17" s="317"/>
      <c r="GB17" s="317"/>
      <c r="GC17" s="317"/>
      <c r="GD17" s="317"/>
      <c r="GE17" s="317"/>
      <c r="GF17" s="317"/>
      <c r="GG17" s="317"/>
      <c r="GH17" s="317"/>
      <c r="GI17" s="317"/>
      <c r="GJ17" s="317"/>
      <c r="GK17" s="317"/>
      <c r="GL17" s="317"/>
      <c r="GM17" s="317"/>
      <c r="GN17" s="317"/>
      <c r="GO17" s="317"/>
      <c r="GP17" s="317"/>
      <c r="GQ17" s="317"/>
      <c r="GR17" s="317"/>
      <c r="GS17" s="317"/>
      <c r="GT17" s="317"/>
      <c r="GU17" s="317"/>
      <c r="GV17" s="317"/>
      <c r="GW17" s="317"/>
      <c r="GX17" s="317"/>
      <c r="GY17" s="317"/>
      <c r="GZ17" s="317"/>
      <c r="HA17" s="317"/>
      <c r="HB17" s="317"/>
      <c r="HC17" s="317"/>
      <c r="HD17" s="317"/>
      <c r="HE17" s="317"/>
      <c r="HF17" s="317"/>
      <c r="HG17" s="317"/>
      <c r="HH17" s="317"/>
      <c r="HI17" s="317"/>
      <c r="HJ17" s="317"/>
    </row>
    <row r="18" ht="15.0" customHeight="1">
      <c r="A18" s="166"/>
      <c r="B18" s="13"/>
      <c r="C18" s="213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7"/>
      <c r="AQ18" s="337"/>
      <c r="AR18" s="337"/>
      <c r="AS18" s="338"/>
      <c r="AT18" s="338"/>
      <c r="AU18" s="338"/>
      <c r="AV18" s="338"/>
      <c r="AW18" s="338"/>
      <c r="AX18" s="338"/>
      <c r="AY18" s="338"/>
      <c r="AZ18" s="338"/>
      <c r="BA18" s="338"/>
      <c r="BB18" s="338"/>
      <c r="BC18" s="338"/>
      <c r="BD18" s="338"/>
      <c r="BE18" s="338"/>
      <c r="BF18" s="338"/>
      <c r="BG18" s="338"/>
      <c r="BH18" s="338"/>
      <c r="BI18" s="338"/>
      <c r="BJ18" s="338"/>
      <c r="BK18" s="338"/>
      <c r="BL18" s="338"/>
      <c r="BM18" s="338"/>
      <c r="BN18" s="338"/>
      <c r="BO18" s="338"/>
      <c r="BP18" s="338"/>
      <c r="BQ18" s="338"/>
      <c r="BR18" s="338"/>
      <c r="BS18" s="338"/>
      <c r="BT18" s="338"/>
      <c r="BU18" s="338"/>
      <c r="BV18" s="338"/>
      <c r="BW18" s="338"/>
      <c r="BX18" s="338"/>
      <c r="BY18" s="338"/>
      <c r="BZ18" s="338"/>
      <c r="CA18" s="338"/>
      <c r="CB18" s="338"/>
      <c r="CC18" s="338"/>
      <c r="CD18" s="338"/>
      <c r="CE18" s="338"/>
      <c r="CF18" s="338"/>
      <c r="CG18" s="338"/>
      <c r="CH18" s="338"/>
      <c r="CI18" s="338"/>
      <c r="CJ18" s="338"/>
      <c r="CK18" s="338"/>
      <c r="CL18" s="338"/>
      <c r="CM18" s="338"/>
      <c r="CN18" s="338"/>
      <c r="CO18" s="338"/>
      <c r="CP18" s="338"/>
      <c r="CQ18" s="338"/>
      <c r="CR18" s="337"/>
      <c r="CS18" s="337"/>
      <c r="CT18" s="337"/>
      <c r="CU18" s="337"/>
      <c r="CV18" s="337"/>
      <c r="CW18" s="337"/>
      <c r="CX18" s="337"/>
      <c r="CY18" s="337"/>
      <c r="CZ18" s="337"/>
      <c r="DA18" s="337"/>
      <c r="DB18" s="337"/>
      <c r="DC18" s="337"/>
      <c r="DD18" s="337"/>
      <c r="DE18" s="337"/>
      <c r="DF18" s="337"/>
      <c r="DG18" s="337"/>
      <c r="DH18" s="337"/>
      <c r="DI18" s="337"/>
      <c r="DJ18" s="337"/>
      <c r="DK18" s="338"/>
      <c r="DL18" s="338"/>
      <c r="DM18" s="338"/>
      <c r="DN18" s="337"/>
      <c r="DO18" s="337"/>
      <c r="DP18" s="337"/>
      <c r="DQ18" s="337"/>
      <c r="DR18" s="337"/>
      <c r="DS18" s="337"/>
      <c r="DT18" s="337"/>
      <c r="DU18" s="337"/>
      <c r="DV18" s="337"/>
      <c r="DW18" s="337"/>
      <c r="DX18" s="337"/>
      <c r="DY18" s="337"/>
      <c r="DZ18" s="338"/>
      <c r="EA18" s="338"/>
      <c r="EB18" s="338"/>
      <c r="EC18" s="338"/>
      <c r="ED18" s="338"/>
      <c r="EE18" s="338"/>
      <c r="EF18" s="338"/>
      <c r="EG18" s="338"/>
      <c r="EH18" s="338"/>
      <c r="EI18" s="338"/>
      <c r="EJ18" s="338"/>
      <c r="EK18" s="338"/>
      <c r="EL18" s="338"/>
      <c r="EM18" s="338"/>
      <c r="EN18" s="338"/>
      <c r="EO18" s="338"/>
      <c r="EP18" s="338"/>
      <c r="EQ18" s="338"/>
      <c r="ER18" s="338"/>
      <c r="ES18" s="338"/>
      <c r="ET18" s="338"/>
      <c r="EU18" s="338"/>
      <c r="EV18" s="338"/>
      <c r="EW18" s="338"/>
      <c r="EX18" s="338"/>
      <c r="EY18" s="338"/>
      <c r="EZ18" s="338"/>
      <c r="FA18" s="338"/>
      <c r="FB18" s="338"/>
      <c r="FC18" s="338"/>
      <c r="FD18" s="338"/>
      <c r="FE18" s="338"/>
      <c r="FF18" s="338"/>
      <c r="FG18" s="338"/>
      <c r="FH18" s="338"/>
      <c r="FI18" s="338"/>
      <c r="FJ18" s="338"/>
      <c r="FK18" s="338"/>
      <c r="FL18" s="338"/>
      <c r="FM18" s="338"/>
      <c r="FN18" s="338"/>
      <c r="FO18" s="338"/>
      <c r="FP18" s="338"/>
      <c r="FQ18" s="338"/>
      <c r="FR18" s="338"/>
      <c r="FS18" s="338"/>
      <c r="FT18" s="338"/>
      <c r="FU18" s="338"/>
      <c r="FV18" s="338"/>
      <c r="FW18" s="338"/>
      <c r="FX18" s="338"/>
      <c r="FY18" s="338"/>
      <c r="FZ18" s="338"/>
      <c r="GA18" s="338"/>
      <c r="GB18" s="338"/>
      <c r="GC18" s="338"/>
      <c r="GD18" s="338"/>
      <c r="GE18" s="338"/>
      <c r="GF18" s="338"/>
      <c r="GG18" s="338"/>
      <c r="GH18" s="338"/>
      <c r="GI18" s="338"/>
      <c r="GJ18" s="338"/>
      <c r="GK18" s="338"/>
      <c r="GL18" s="338"/>
      <c r="GM18" s="338"/>
      <c r="GN18" s="338"/>
      <c r="GO18" s="338"/>
      <c r="GP18" s="338"/>
      <c r="GQ18" s="338"/>
      <c r="GR18" s="338"/>
      <c r="GS18" s="338"/>
      <c r="GT18" s="338"/>
      <c r="GU18" s="338"/>
      <c r="GV18" s="338"/>
      <c r="GW18" s="338"/>
      <c r="GX18" s="338"/>
      <c r="GY18" s="338"/>
      <c r="GZ18" s="338"/>
      <c r="HA18" s="338"/>
      <c r="HB18" s="338"/>
      <c r="HC18" s="338"/>
      <c r="HD18" s="338"/>
      <c r="HE18" s="338"/>
      <c r="HF18" s="338"/>
      <c r="HG18" s="338"/>
      <c r="HH18" s="338"/>
      <c r="HI18" s="338"/>
      <c r="HJ18" s="338"/>
    </row>
    <row r="19" ht="15.0" customHeight="1">
      <c r="A19" s="181"/>
      <c r="B19" s="181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4"/>
      <c r="BV19" s="214"/>
      <c r="BW19" s="214"/>
      <c r="BX19" s="214"/>
      <c r="BY19" s="214"/>
      <c r="BZ19" s="214"/>
      <c r="CA19" s="214"/>
      <c r="CB19" s="214"/>
      <c r="CC19" s="214"/>
      <c r="CD19" s="214"/>
      <c r="CE19" s="214"/>
      <c r="CF19" s="214"/>
      <c r="CG19" s="214"/>
      <c r="CH19" s="214"/>
      <c r="CI19" s="214"/>
      <c r="CJ19" s="214"/>
      <c r="CK19" s="214"/>
      <c r="CL19" s="214"/>
      <c r="CM19" s="214"/>
      <c r="CN19" s="214"/>
      <c r="CO19" s="214"/>
      <c r="CP19" s="214"/>
      <c r="CQ19" s="214"/>
      <c r="CR19" s="214"/>
      <c r="CS19" s="214"/>
      <c r="CT19" s="214"/>
      <c r="CU19" s="214"/>
      <c r="CV19" s="214"/>
      <c r="CW19" s="214"/>
      <c r="CX19" s="214"/>
      <c r="CY19" s="214"/>
      <c r="CZ19" s="214"/>
      <c r="DA19" s="214"/>
      <c r="DB19" s="214"/>
      <c r="DC19" s="214"/>
      <c r="DD19" s="214"/>
      <c r="DE19" s="214"/>
      <c r="DF19" s="214"/>
      <c r="DG19" s="214"/>
      <c r="DH19" s="214"/>
      <c r="DI19" s="214"/>
      <c r="DJ19" s="214"/>
      <c r="DK19" s="214"/>
      <c r="DL19" s="214"/>
      <c r="DM19" s="214"/>
      <c r="DN19" s="214"/>
      <c r="DO19" s="214"/>
      <c r="DP19" s="214"/>
      <c r="DQ19" s="214"/>
      <c r="DR19" s="214"/>
      <c r="DS19" s="214"/>
      <c r="DT19" s="214"/>
      <c r="DU19" s="214"/>
      <c r="DV19" s="214"/>
      <c r="DW19" s="214"/>
      <c r="DX19" s="214"/>
      <c r="DY19" s="214"/>
      <c r="DZ19" s="214"/>
      <c r="EA19" s="214"/>
      <c r="EB19" s="214"/>
      <c r="EC19" s="214"/>
      <c r="ED19" s="214"/>
      <c r="EE19" s="214"/>
      <c r="EF19" s="214"/>
      <c r="EG19" s="214"/>
      <c r="EH19" s="214"/>
      <c r="EI19" s="214"/>
      <c r="EJ19" s="214"/>
      <c r="EK19" s="214"/>
      <c r="EL19" s="214"/>
      <c r="EM19" s="214"/>
      <c r="EN19" s="214"/>
      <c r="EO19" s="214"/>
      <c r="EP19" s="214"/>
      <c r="EQ19" s="214"/>
      <c r="ER19" s="214"/>
      <c r="ES19" s="214"/>
      <c r="ET19" s="214"/>
      <c r="EU19" s="214"/>
      <c r="EV19" s="214"/>
      <c r="EW19" s="214"/>
      <c r="EX19" s="214"/>
      <c r="EY19" s="214"/>
      <c r="EZ19" s="214"/>
      <c r="FA19" s="214"/>
      <c r="FB19" s="214"/>
      <c r="FC19" s="214"/>
      <c r="FD19" s="214"/>
      <c r="FE19" s="214"/>
      <c r="FF19" s="214"/>
      <c r="FG19" s="214"/>
      <c r="FH19" s="214"/>
      <c r="FI19" s="214"/>
      <c r="FJ19" s="214"/>
      <c r="FK19" s="214"/>
      <c r="FL19" s="214"/>
      <c r="FM19" s="214"/>
      <c r="FN19" s="214"/>
      <c r="FO19" s="214"/>
      <c r="FP19" s="214"/>
      <c r="FQ19" s="214"/>
      <c r="FR19" s="214"/>
      <c r="FS19" s="214"/>
      <c r="FT19" s="214"/>
      <c r="FU19" s="214"/>
      <c r="FV19" s="214"/>
      <c r="FW19" s="214"/>
      <c r="FX19" s="214"/>
      <c r="FY19" s="214"/>
      <c r="FZ19" s="214"/>
      <c r="GA19" s="214"/>
      <c r="GB19" s="214"/>
      <c r="GC19" s="214"/>
      <c r="GD19" s="214"/>
      <c r="GE19" s="214"/>
      <c r="GF19" s="214"/>
      <c r="GG19" s="214"/>
      <c r="GH19" s="214"/>
      <c r="GI19" s="214"/>
      <c r="GJ19" s="214"/>
      <c r="GK19" s="214"/>
      <c r="GL19" s="214"/>
      <c r="GM19" s="214"/>
      <c r="GN19" s="214"/>
      <c r="GO19" s="214"/>
      <c r="GP19" s="214"/>
      <c r="GQ19" s="214"/>
      <c r="GR19" s="214"/>
      <c r="GS19" s="214"/>
      <c r="GT19" s="214"/>
      <c r="GU19" s="214"/>
      <c r="GV19" s="214"/>
      <c r="GW19" s="214"/>
      <c r="GX19" s="214"/>
      <c r="GY19" s="214"/>
      <c r="GZ19" s="214"/>
      <c r="HA19" s="214"/>
      <c r="HB19" s="214"/>
      <c r="HC19" s="214"/>
      <c r="HD19" s="214"/>
      <c r="HE19" s="214"/>
      <c r="HF19" s="214"/>
      <c r="HG19" s="214"/>
      <c r="HH19" s="214"/>
      <c r="HI19" s="214"/>
      <c r="HJ19" s="214"/>
    </row>
    <row r="20" ht="15.0" customHeight="1">
      <c r="A20" s="180"/>
      <c r="B20" s="13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7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6"/>
      <c r="BN20" s="216"/>
      <c r="BO20" s="216"/>
      <c r="BP20" s="216"/>
      <c r="BQ20" s="216"/>
      <c r="BR20" s="216"/>
      <c r="BS20" s="216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16"/>
      <c r="CG20" s="216"/>
      <c r="CH20" s="216"/>
      <c r="CI20" s="216"/>
      <c r="CJ20" s="216"/>
      <c r="CK20" s="216"/>
      <c r="CL20" s="216"/>
      <c r="CM20" s="216"/>
      <c r="CN20" s="216"/>
      <c r="CO20" s="216"/>
      <c r="CP20" s="216"/>
      <c r="CQ20" s="217"/>
      <c r="CR20" s="216"/>
      <c r="CS20" s="216"/>
      <c r="CT20" s="216"/>
      <c r="CU20" s="216"/>
      <c r="CV20" s="216"/>
      <c r="CW20" s="216"/>
      <c r="CX20" s="216"/>
      <c r="CY20" s="216"/>
      <c r="CZ20" s="216"/>
      <c r="DA20" s="216"/>
      <c r="DB20" s="216"/>
      <c r="DC20" s="216"/>
      <c r="DD20" s="216"/>
      <c r="DE20" s="216"/>
      <c r="DF20" s="216"/>
      <c r="DG20" s="216"/>
      <c r="DH20" s="216"/>
      <c r="DI20" s="216"/>
      <c r="DJ20" s="216"/>
      <c r="DK20" s="216"/>
      <c r="DL20" s="216"/>
      <c r="DM20" s="216"/>
      <c r="DN20" s="216"/>
      <c r="DO20" s="216"/>
      <c r="DP20" s="216"/>
      <c r="DQ20" s="216"/>
      <c r="DR20" s="216"/>
      <c r="DS20" s="216"/>
      <c r="DT20" s="216"/>
      <c r="DU20" s="216"/>
      <c r="DV20" s="216"/>
      <c r="DW20" s="216"/>
      <c r="DX20" s="216"/>
      <c r="DY20" s="216"/>
      <c r="DZ20" s="217"/>
      <c r="EA20" s="216"/>
      <c r="EB20" s="216"/>
      <c r="EC20" s="216"/>
      <c r="ED20" s="216"/>
      <c r="EE20" s="216"/>
      <c r="EF20" s="216"/>
      <c r="EG20" s="216"/>
      <c r="EH20" s="216"/>
      <c r="EI20" s="216"/>
      <c r="EJ20" s="216"/>
      <c r="EK20" s="216"/>
      <c r="EL20" s="216"/>
      <c r="EM20" s="216"/>
      <c r="EN20" s="216"/>
      <c r="EO20" s="216"/>
      <c r="EP20" s="216"/>
      <c r="EQ20" s="216"/>
      <c r="ER20" s="216"/>
      <c r="ES20" s="217"/>
      <c r="ET20" s="216"/>
      <c r="EU20" s="216"/>
      <c r="EV20" s="216"/>
      <c r="EW20" s="216"/>
      <c r="EX20" s="216"/>
      <c r="EY20" s="216"/>
      <c r="EZ20" s="216"/>
      <c r="FA20" s="216"/>
      <c r="FB20" s="216"/>
      <c r="FC20" s="216"/>
      <c r="FD20" s="216"/>
      <c r="FE20" s="216"/>
      <c r="FF20" s="216"/>
      <c r="FG20" s="216"/>
      <c r="FH20" s="216"/>
      <c r="FI20" s="216"/>
      <c r="FJ20" s="216"/>
      <c r="FK20" s="216"/>
      <c r="FL20" s="216"/>
      <c r="FM20" s="217"/>
      <c r="FN20" s="216"/>
      <c r="FO20" s="216"/>
      <c r="FP20" s="216"/>
      <c r="FQ20" s="216"/>
      <c r="FR20" s="216"/>
      <c r="FS20" s="216"/>
      <c r="FT20" s="216"/>
      <c r="FU20" s="216"/>
      <c r="FV20" s="216"/>
      <c r="FW20" s="216"/>
      <c r="FX20" s="216"/>
      <c r="FY20" s="216"/>
      <c r="FZ20" s="216"/>
      <c r="GA20" s="216"/>
      <c r="GB20" s="216"/>
      <c r="GC20" s="216"/>
      <c r="GD20" s="216"/>
      <c r="GE20" s="216"/>
      <c r="GF20" s="216"/>
      <c r="GG20" s="216"/>
      <c r="GH20" s="216"/>
      <c r="GI20" s="216"/>
      <c r="GJ20" s="216"/>
      <c r="GK20" s="216"/>
      <c r="GL20" s="216"/>
      <c r="GM20" s="216"/>
      <c r="GN20" s="216"/>
      <c r="GO20" s="216"/>
      <c r="GP20" s="216"/>
      <c r="GQ20" s="216"/>
      <c r="GR20" s="216"/>
      <c r="GS20" s="216"/>
      <c r="GT20" s="216"/>
      <c r="GU20" s="216"/>
      <c r="GV20" s="216"/>
      <c r="GW20" s="216"/>
      <c r="GX20" s="216"/>
      <c r="GY20" s="216"/>
      <c r="GZ20" s="216"/>
      <c r="HA20" s="216"/>
      <c r="HB20" s="216"/>
      <c r="HC20" s="216"/>
      <c r="HD20" s="216"/>
      <c r="HE20" s="216"/>
      <c r="HF20" s="216"/>
      <c r="HG20" s="216"/>
      <c r="HH20" s="216"/>
      <c r="HI20" s="216"/>
      <c r="HJ20" s="217"/>
    </row>
    <row r="21" ht="15.0" customHeight="1">
      <c r="A21" s="189"/>
      <c r="B21" s="13"/>
      <c r="C21" s="218"/>
      <c r="D21" s="4" t="s">
        <v>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6"/>
      <c r="AS21" s="219"/>
      <c r="AT21" s="8" t="s">
        <v>1</v>
      </c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10"/>
      <c r="CQ21" s="220"/>
      <c r="CR21" s="221" t="s">
        <v>85</v>
      </c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3"/>
      <c r="DZ21" s="219"/>
      <c r="EA21" s="14" t="s">
        <v>3</v>
      </c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6"/>
      <c r="ES21" s="219"/>
      <c r="ET21" s="17" t="s">
        <v>86</v>
      </c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9"/>
      <c r="FM21" s="219"/>
      <c r="FN21" s="20" t="s">
        <v>124</v>
      </c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2"/>
      <c r="HJ21" s="222"/>
    </row>
    <row r="22" ht="15.0" customHeight="1">
      <c r="A22" s="23" t="s">
        <v>88</v>
      </c>
      <c r="B22" s="223"/>
      <c r="D22" s="224" t="s">
        <v>7</v>
      </c>
      <c r="E22" s="27"/>
      <c r="F22" s="27"/>
      <c r="G22" s="27"/>
      <c r="H22" s="27"/>
      <c r="I22" s="27"/>
      <c r="J22" s="27"/>
      <c r="K22" s="27"/>
      <c r="L22" s="28"/>
      <c r="M22" s="225" t="s">
        <v>8</v>
      </c>
      <c r="N22" s="226">
        <v>44228.0</v>
      </c>
      <c r="O22" s="226">
        <v>44229.0</v>
      </c>
      <c r="P22" s="226">
        <v>44230.0</v>
      </c>
      <c r="Q22" s="226">
        <v>44231.0</v>
      </c>
      <c r="R22" s="226">
        <v>44232.0</v>
      </c>
      <c r="S22" s="226">
        <v>44233.0</v>
      </c>
      <c r="T22" s="226">
        <v>44234.0</v>
      </c>
      <c r="U22" s="226">
        <v>44235.0</v>
      </c>
      <c r="V22" s="226">
        <v>44236.0</v>
      </c>
      <c r="W22" s="226">
        <v>44237.0</v>
      </c>
      <c r="X22" s="226">
        <v>44238.0</v>
      </c>
      <c r="Y22" s="226">
        <v>44239.0</v>
      </c>
      <c r="Z22" s="226">
        <v>44240.0</v>
      </c>
      <c r="AA22" s="226">
        <v>44241.0</v>
      </c>
      <c r="AB22" s="226">
        <v>44242.0</v>
      </c>
      <c r="AC22" s="226">
        <v>44243.0</v>
      </c>
      <c r="AD22" s="226">
        <v>44244.0</v>
      </c>
      <c r="AE22" s="226">
        <v>44245.0</v>
      </c>
      <c r="AF22" s="226">
        <v>44246.0</v>
      </c>
      <c r="AG22" s="226">
        <v>44247.0</v>
      </c>
      <c r="AH22" s="226">
        <v>44248.0</v>
      </c>
      <c r="AI22" s="226">
        <v>44249.0</v>
      </c>
      <c r="AJ22" s="226">
        <v>44250.0</v>
      </c>
      <c r="AK22" s="226">
        <v>44251.0</v>
      </c>
      <c r="AL22" s="226">
        <v>44252.0</v>
      </c>
      <c r="AM22" s="226">
        <v>44253.0</v>
      </c>
      <c r="AN22" s="226">
        <v>44254.0</v>
      </c>
      <c r="AO22" s="226">
        <v>44255.0</v>
      </c>
      <c r="AP22" s="226">
        <v>44256.0</v>
      </c>
      <c r="AQ22" s="226">
        <v>44257.0</v>
      </c>
      <c r="AR22" s="226">
        <v>44258.0</v>
      </c>
      <c r="AT22" s="227" t="s">
        <v>9</v>
      </c>
      <c r="AU22" s="228"/>
      <c r="AV22" s="228"/>
      <c r="AW22" s="229"/>
      <c r="AX22" s="230"/>
      <c r="AY22" s="228"/>
      <c r="AZ22" s="229"/>
      <c r="BA22" s="231"/>
      <c r="BB22" s="228"/>
      <c r="BC22" s="229"/>
      <c r="BD22" s="231"/>
      <c r="BE22" s="228"/>
      <c r="BF22" s="229"/>
      <c r="BG22" s="231"/>
      <c r="BH22" s="228"/>
      <c r="BI22" s="229"/>
      <c r="BJ22" s="231"/>
      <c r="BK22" s="228"/>
      <c r="BL22" s="229"/>
      <c r="BM22" s="231"/>
      <c r="BN22" s="228"/>
      <c r="BO22" s="229"/>
      <c r="BP22" s="231"/>
      <c r="BQ22" s="228"/>
      <c r="BR22" s="229"/>
      <c r="BS22" s="231"/>
      <c r="BT22" s="228"/>
      <c r="BU22" s="229"/>
      <c r="BV22" s="231"/>
      <c r="BW22" s="228"/>
      <c r="BX22" s="229"/>
      <c r="BY22" s="231"/>
      <c r="BZ22" s="228"/>
      <c r="CA22" s="229"/>
      <c r="CB22" s="231"/>
      <c r="CC22" s="228"/>
      <c r="CD22" s="229"/>
      <c r="CE22" s="231"/>
      <c r="CF22" s="228"/>
      <c r="CG22" s="229"/>
      <c r="CH22" s="231"/>
      <c r="CI22" s="228"/>
      <c r="CJ22" s="229"/>
      <c r="CK22" s="231"/>
      <c r="CL22" s="228"/>
      <c r="CM22" s="229"/>
      <c r="CN22" s="231"/>
      <c r="CO22" s="228"/>
      <c r="CP22" s="229"/>
      <c r="CQ22" s="220"/>
      <c r="CR22" s="37" t="s">
        <v>10</v>
      </c>
      <c r="CS22" s="12"/>
      <c r="CT22" s="13"/>
      <c r="CU22" s="37" t="s">
        <v>11</v>
      </c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3"/>
      <c r="DH22" s="232" t="s">
        <v>12</v>
      </c>
      <c r="DI22" s="12"/>
      <c r="DJ22" s="13"/>
      <c r="DK22" s="232" t="s">
        <v>13</v>
      </c>
      <c r="DL22" s="12"/>
      <c r="DM22" s="13"/>
      <c r="DN22" s="233" t="s">
        <v>90</v>
      </c>
      <c r="DO22" s="12"/>
      <c r="DP22" s="13"/>
      <c r="DQ22" s="37" t="s">
        <v>91</v>
      </c>
      <c r="DR22" s="12"/>
      <c r="DS22" s="13"/>
      <c r="DT22" s="234" t="s">
        <v>16</v>
      </c>
      <c r="DU22" s="12"/>
      <c r="DV22" s="13"/>
      <c r="DW22" s="233" t="s">
        <v>92</v>
      </c>
      <c r="DX22" s="12"/>
      <c r="DY22" s="13"/>
      <c r="EA22" s="235" t="s">
        <v>18</v>
      </c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6"/>
      <c r="EO22" s="236" t="s">
        <v>93</v>
      </c>
      <c r="EP22" s="16"/>
      <c r="EQ22" s="236" t="s">
        <v>94</v>
      </c>
      <c r="ER22" s="16"/>
      <c r="ET22" s="237" t="s">
        <v>20</v>
      </c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9"/>
      <c r="FJ22" s="238" t="s">
        <v>21</v>
      </c>
      <c r="FK22" s="18"/>
      <c r="FL22" s="19"/>
      <c r="FN22" s="239" t="s">
        <v>22</v>
      </c>
      <c r="FO22" s="240"/>
      <c r="FP22" s="240"/>
      <c r="FQ22" s="240"/>
      <c r="FR22" s="240"/>
      <c r="FS22" s="240"/>
      <c r="FT22" s="240"/>
      <c r="FU22" s="240"/>
      <c r="FV22" s="240"/>
      <c r="FW22" s="240"/>
      <c r="FX22" s="240"/>
      <c r="FY22" s="241"/>
      <c r="FZ22" s="242" t="s">
        <v>23</v>
      </c>
      <c r="GA22" s="241"/>
      <c r="GB22" s="243">
        <v>44317.0</v>
      </c>
      <c r="GC22" s="243">
        <v>44318.0</v>
      </c>
      <c r="GD22" s="243">
        <v>44319.0</v>
      </c>
      <c r="GE22" s="243">
        <v>44320.0</v>
      </c>
      <c r="GF22" s="243">
        <v>44321.0</v>
      </c>
      <c r="GG22" s="243">
        <v>44322.0</v>
      </c>
      <c r="GH22" s="243">
        <v>44323.0</v>
      </c>
      <c r="GI22" s="243">
        <v>44324.0</v>
      </c>
      <c r="GJ22" s="243">
        <v>44325.0</v>
      </c>
      <c r="GK22" s="243">
        <v>44326.0</v>
      </c>
      <c r="GL22" s="243">
        <v>44327.0</v>
      </c>
      <c r="GM22" s="243">
        <v>44328.0</v>
      </c>
      <c r="GN22" s="243">
        <v>44329.0</v>
      </c>
      <c r="GO22" s="243">
        <v>44330.0</v>
      </c>
      <c r="GP22" s="243">
        <v>44331.0</v>
      </c>
      <c r="GQ22" s="243">
        <v>44332.0</v>
      </c>
      <c r="GR22" s="243">
        <v>44333.0</v>
      </c>
      <c r="GS22" s="243">
        <v>44334.0</v>
      </c>
      <c r="GT22" s="243">
        <v>44335.0</v>
      </c>
      <c r="GU22" s="243">
        <v>44336.0</v>
      </c>
      <c r="GV22" s="243">
        <v>44337.0</v>
      </c>
      <c r="GW22" s="243">
        <v>44338.0</v>
      </c>
      <c r="GX22" s="243">
        <v>44339.0</v>
      </c>
      <c r="GY22" s="243">
        <v>44340.0</v>
      </c>
      <c r="GZ22" s="243">
        <v>44341.0</v>
      </c>
      <c r="HA22" s="243">
        <v>44342.0</v>
      </c>
      <c r="HB22" s="243">
        <v>44343.0</v>
      </c>
      <c r="HC22" s="243">
        <v>44344.0</v>
      </c>
      <c r="HD22" s="243">
        <v>44345.0</v>
      </c>
      <c r="HE22" s="243">
        <v>44346.0</v>
      </c>
      <c r="HF22" s="243">
        <v>44347.0</v>
      </c>
      <c r="HG22" s="244" t="s">
        <v>24</v>
      </c>
      <c r="HH22" s="240"/>
      <c r="HI22" s="241"/>
      <c r="HJ22" s="35"/>
    </row>
    <row r="23" ht="15.0" customHeight="1">
      <c r="A23" s="54"/>
      <c r="B23" s="245"/>
      <c r="D23" s="55"/>
      <c r="L23" s="33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T23" s="246"/>
      <c r="AU23" s="247"/>
      <c r="AV23" s="247"/>
      <c r="AW23" s="248"/>
      <c r="AX23" s="246"/>
      <c r="AY23" s="247"/>
      <c r="AZ23" s="248"/>
      <c r="BA23" s="246"/>
      <c r="BB23" s="247"/>
      <c r="BC23" s="248"/>
      <c r="BD23" s="246"/>
      <c r="BE23" s="247"/>
      <c r="BF23" s="248"/>
      <c r="BG23" s="246"/>
      <c r="BH23" s="247"/>
      <c r="BI23" s="248"/>
      <c r="BJ23" s="246"/>
      <c r="BK23" s="247"/>
      <c r="BL23" s="248"/>
      <c r="BM23" s="246"/>
      <c r="BN23" s="247"/>
      <c r="BO23" s="248"/>
      <c r="BP23" s="246"/>
      <c r="BQ23" s="247"/>
      <c r="BR23" s="248"/>
      <c r="BS23" s="246"/>
      <c r="BT23" s="247"/>
      <c r="BU23" s="248"/>
      <c r="BV23" s="246"/>
      <c r="BW23" s="247"/>
      <c r="BX23" s="248"/>
      <c r="BY23" s="246"/>
      <c r="BZ23" s="247"/>
      <c r="CA23" s="248"/>
      <c r="CB23" s="246"/>
      <c r="CC23" s="247"/>
      <c r="CD23" s="248"/>
      <c r="CE23" s="246"/>
      <c r="CF23" s="247"/>
      <c r="CG23" s="248"/>
      <c r="CH23" s="246"/>
      <c r="CI23" s="247"/>
      <c r="CJ23" s="248"/>
      <c r="CK23" s="246"/>
      <c r="CL23" s="247"/>
      <c r="CM23" s="248"/>
      <c r="CN23" s="246"/>
      <c r="CO23" s="247"/>
      <c r="CP23" s="248"/>
      <c r="CQ23" s="220"/>
      <c r="CR23" s="249">
        <v>2000.0</v>
      </c>
      <c r="CS23" s="12"/>
      <c r="CT23" s="13"/>
      <c r="CU23" s="268" t="s">
        <v>125</v>
      </c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3"/>
      <c r="DH23" s="251">
        <f t="shared" ref="DH23:DH28" si="9">SUM(N26:AR26)</f>
        <v>40</v>
      </c>
      <c r="DI23" s="12"/>
      <c r="DJ23" s="13"/>
      <c r="DK23" s="252">
        <v>40.0</v>
      </c>
      <c r="DL23" s="12"/>
      <c r="DM23" s="13"/>
      <c r="DN23" s="253">
        <f t="shared" ref="DN23:DN34" si="10">CR23*DT23/100</f>
        <v>2000</v>
      </c>
      <c r="DO23" s="12"/>
      <c r="DP23" s="13"/>
      <c r="DQ23" s="251">
        <f t="shared" ref="DQ23:DQ27" si="11">IF(DH23&lt;DK23,DH23,IF(DH23&gt;=DK23,DK23))</f>
        <v>40</v>
      </c>
      <c r="DR23" s="12"/>
      <c r="DS23" s="13"/>
      <c r="DT23" s="254">
        <f t="shared" ref="DT23:DT27" si="12">DQ23*100/DK23</f>
        <v>100</v>
      </c>
      <c r="DU23" s="12"/>
      <c r="DV23" s="13"/>
      <c r="DW23" s="255" t="str">
        <f t="shared" ref="DW23:DW35" si="13">(DK23-DH23)/#REF!</f>
        <v>#REF!</v>
      </c>
      <c r="DX23" s="12"/>
      <c r="DY23" s="13"/>
      <c r="EA23" s="256" t="s">
        <v>26</v>
      </c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6"/>
      <c r="EO23" s="257">
        <f>DH25*100/DH23</f>
        <v>50</v>
      </c>
      <c r="EP23" s="16"/>
      <c r="EQ23" s="257" t="str">
        <f>((DH25*100/DH23)+#REF!)/2</f>
        <v>#REF!</v>
      </c>
      <c r="ER23" s="16"/>
      <c r="ET23" s="258" t="s">
        <v>27</v>
      </c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9"/>
      <c r="FJ23" s="259">
        <f>HG32</f>
        <v>0</v>
      </c>
      <c r="FK23" s="18"/>
      <c r="FL23" s="19"/>
      <c r="FN23" s="260"/>
      <c r="FY23" s="261"/>
      <c r="FZ23" s="260"/>
      <c r="GA23" s="261"/>
      <c r="GB23" s="262"/>
      <c r="GC23" s="262"/>
      <c r="GD23" s="262"/>
      <c r="GE23" s="262"/>
      <c r="GF23" s="262"/>
      <c r="GG23" s="262"/>
      <c r="GH23" s="262"/>
      <c r="GI23" s="262"/>
      <c r="GJ23" s="262"/>
      <c r="GK23" s="262"/>
      <c r="GL23" s="262"/>
      <c r="GM23" s="262"/>
      <c r="GN23" s="262"/>
      <c r="GO23" s="262"/>
      <c r="GP23" s="262"/>
      <c r="GQ23" s="262"/>
      <c r="GR23" s="262"/>
      <c r="GS23" s="262"/>
      <c r="GT23" s="262"/>
      <c r="GU23" s="262"/>
      <c r="GV23" s="262"/>
      <c r="GW23" s="262"/>
      <c r="GX23" s="262"/>
      <c r="GY23" s="262"/>
      <c r="GZ23" s="262"/>
      <c r="HA23" s="262"/>
      <c r="HB23" s="262"/>
      <c r="HC23" s="262"/>
      <c r="HD23" s="262"/>
      <c r="HE23" s="262"/>
      <c r="HF23" s="262"/>
      <c r="HG23" s="260"/>
      <c r="HI23" s="261"/>
      <c r="HJ23" s="35"/>
    </row>
    <row r="24" ht="15.0" customHeight="1">
      <c r="A24" s="54"/>
      <c r="B24" s="245"/>
      <c r="D24" s="55"/>
      <c r="L24" s="33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T24" s="263" t="s">
        <v>21</v>
      </c>
      <c r="AU24" s="9"/>
      <c r="AV24" s="9"/>
      <c r="AW24" s="10"/>
      <c r="AX24" s="264">
        <v>220000.0</v>
      </c>
      <c r="AY24" s="9"/>
      <c r="AZ24" s="10"/>
      <c r="BA24" s="264"/>
      <c r="BB24" s="9"/>
      <c r="BC24" s="10"/>
      <c r="BD24" s="264"/>
      <c r="BE24" s="9"/>
      <c r="BF24" s="10"/>
      <c r="BG24" s="264"/>
      <c r="BH24" s="9"/>
      <c r="BI24" s="10"/>
      <c r="BJ24" s="264"/>
      <c r="BK24" s="9"/>
      <c r="BL24" s="10"/>
      <c r="BM24" s="264"/>
      <c r="BN24" s="9"/>
      <c r="BO24" s="10"/>
      <c r="BP24" s="264"/>
      <c r="BQ24" s="9"/>
      <c r="BR24" s="10"/>
      <c r="BS24" s="264"/>
      <c r="BT24" s="9"/>
      <c r="BU24" s="10"/>
      <c r="BV24" s="264"/>
      <c r="BW24" s="9"/>
      <c r="BX24" s="10"/>
      <c r="BY24" s="264"/>
      <c r="BZ24" s="9"/>
      <c r="CA24" s="10"/>
      <c r="CB24" s="264"/>
      <c r="CC24" s="9"/>
      <c r="CD24" s="10"/>
      <c r="CE24" s="264"/>
      <c r="CF24" s="9"/>
      <c r="CG24" s="10"/>
      <c r="CH24" s="264"/>
      <c r="CI24" s="9"/>
      <c r="CJ24" s="10"/>
      <c r="CK24" s="264"/>
      <c r="CL24" s="9"/>
      <c r="CM24" s="10"/>
      <c r="CN24" s="264"/>
      <c r="CO24" s="9"/>
      <c r="CP24" s="10"/>
      <c r="CQ24" s="220"/>
      <c r="CR24" s="249"/>
      <c r="CS24" s="12"/>
      <c r="CT24" s="13"/>
      <c r="CU24" s="250" t="s">
        <v>28</v>
      </c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3"/>
      <c r="DH24" s="251">
        <f t="shared" si="9"/>
        <v>40</v>
      </c>
      <c r="DI24" s="12"/>
      <c r="DJ24" s="13"/>
      <c r="DK24" s="252">
        <v>80.0</v>
      </c>
      <c r="DL24" s="12"/>
      <c r="DM24" s="13"/>
      <c r="DN24" s="253">
        <f t="shared" si="10"/>
        <v>0</v>
      </c>
      <c r="DO24" s="12"/>
      <c r="DP24" s="13"/>
      <c r="DQ24" s="251">
        <f t="shared" si="11"/>
        <v>40</v>
      </c>
      <c r="DR24" s="12"/>
      <c r="DS24" s="13"/>
      <c r="DT24" s="254">
        <f t="shared" si="12"/>
        <v>50</v>
      </c>
      <c r="DU24" s="12"/>
      <c r="DV24" s="13"/>
      <c r="DW24" s="255" t="str">
        <f t="shared" si="13"/>
        <v>#REF!</v>
      </c>
      <c r="DX24" s="12"/>
      <c r="DY24" s="13"/>
      <c r="EA24" s="256" t="s">
        <v>29</v>
      </c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6"/>
      <c r="EO24" s="257">
        <f>DH26*100/DH23</f>
        <v>12.5</v>
      </c>
      <c r="EP24" s="16"/>
      <c r="EQ24" s="257" t="str">
        <f>((DH25*100/DH23)+#REF!)/2</f>
        <v>#REF!</v>
      </c>
      <c r="ER24" s="16"/>
      <c r="ET24" s="265" t="s">
        <v>30</v>
      </c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9"/>
      <c r="FJ24" s="259">
        <f>sum(DN26,DN27,DN29)</f>
        <v>10000</v>
      </c>
      <c r="FK24" s="18"/>
      <c r="FL24" s="19"/>
      <c r="FN24" s="260"/>
      <c r="FY24" s="261"/>
      <c r="FZ24" s="260"/>
      <c r="GA24" s="261"/>
      <c r="GB24" s="262"/>
      <c r="GC24" s="262"/>
      <c r="GD24" s="262"/>
      <c r="GE24" s="262"/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  <c r="GR24" s="262"/>
      <c r="GS24" s="262"/>
      <c r="GT24" s="262"/>
      <c r="GU24" s="262"/>
      <c r="GV24" s="262"/>
      <c r="GW24" s="262"/>
      <c r="GX24" s="262"/>
      <c r="GY24" s="262"/>
      <c r="GZ24" s="262"/>
      <c r="HA24" s="262"/>
      <c r="HB24" s="262"/>
      <c r="HC24" s="262"/>
      <c r="HD24" s="262"/>
      <c r="HE24" s="262"/>
      <c r="HF24" s="262"/>
      <c r="HG24" s="260"/>
      <c r="HI24" s="261"/>
      <c r="HJ24" s="35"/>
    </row>
    <row r="25" ht="15.0" customHeight="1">
      <c r="A25" s="54"/>
      <c r="B25" s="245"/>
      <c r="D25" s="57"/>
      <c r="E25" s="39"/>
      <c r="F25" s="39"/>
      <c r="G25" s="39"/>
      <c r="H25" s="39"/>
      <c r="I25" s="39"/>
      <c r="J25" s="39"/>
      <c r="K25" s="39"/>
      <c r="L25" s="40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T25" s="266" t="s">
        <v>31</v>
      </c>
      <c r="AU25" s="9"/>
      <c r="AV25" s="9"/>
      <c r="AW25" s="10"/>
      <c r="AX25" s="267">
        <v>1.0</v>
      </c>
      <c r="AY25" s="9"/>
      <c r="AZ25" s="10"/>
      <c r="BA25" s="267"/>
      <c r="BB25" s="9"/>
      <c r="BC25" s="10"/>
      <c r="BD25" s="267"/>
      <c r="BE25" s="9"/>
      <c r="BF25" s="10"/>
      <c r="BG25" s="267"/>
      <c r="BH25" s="9"/>
      <c r="BI25" s="10"/>
      <c r="BJ25" s="267"/>
      <c r="BK25" s="9"/>
      <c r="BL25" s="10"/>
      <c r="BM25" s="267"/>
      <c r="BN25" s="9"/>
      <c r="BO25" s="10"/>
      <c r="BP25" s="267"/>
      <c r="BQ25" s="9"/>
      <c r="BR25" s="10"/>
      <c r="BS25" s="267"/>
      <c r="BT25" s="9"/>
      <c r="BU25" s="10"/>
      <c r="BV25" s="267"/>
      <c r="BW25" s="9"/>
      <c r="BX25" s="10"/>
      <c r="BY25" s="267"/>
      <c r="BZ25" s="9"/>
      <c r="CA25" s="10"/>
      <c r="CB25" s="267"/>
      <c r="CC25" s="9"/>
      <c r="CD25" s="10"/>
      <c r="CE25" s="267"/>
      <c r="CF25" s="9"/>
      <c r="CG25" s="10"/>
      <c r="CH25" s="267"/>
      <c r="CI25" s="9"/>
      <c r="CJ25" s="10"/>
      <c r="CK25" s="267"/>
      <c r="CL25" s="9"/>
      <c r="CM25" s="10"/>
      <c r="CN25" s="267"/>
      <c r="CO25" s="9"/>
      <c r="CP25" s="10"/>
      <c r="CQ25" s="220"/>
      <c r="CR25" s="249"/>
      <c r="CS25" s="12"/>
      <c r="CT25" s="13"/>
      <c r="CU25" s="268" t="s">
        <v>32</v>
      </c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3"/>
      <c r="DH25" s="251">
        <f t="shared" si="9"/>
        <v>20</v>
      </c>
      <c r="DI25" s="12"/>
      <c r="DJ25" s="13"/>
      <c r="DK25" s="252">
        <v>5.0</v>
      </c>
      <c r="DL25" s="12"/>
      <c r="DM25" s="13"/>
      <c r="DN25" s="253">
        <f t="shared" si="10"/>
        <v>0</v>
      </c>
      <c r="DO25" s="12"/>
      <c r="DP25" s="13"/>
      <c r="DQ25" s="251">
        <f t="shared" si="11"/>
        <v>5</v>
      </c>
      <c r="DR25" s="12"/>
      <c r="DS25" s="13"/>
      <c r="DT25" s="254">
        <f t="shared" si="12"/>
        <v>100</v>
      </c>
      <c r="DU25" s="12"/>
      <c r="DV25" s="13"/>
      <c r="DW25" s="255" t="str">
        <f t="shared" si="13"/>
        <v>#REF!</v>
      </c>
      <c r="DX25" s="12"/>
      <c r="DY25" s="13"/>
      <c r="EA25" s="269" t="s">
        <v>33</v>
      </c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6"/>
      <c r="EO25" s="257">
        <f>DH27*100/DH23</f>
        <v>5</v>
      </c>
      <c r="EP25" s="16"/>
      <c r="EQ25" s="257" t="str">
        <f>((DH27*100/DH23)+#REF!)/2</f>
        <v>#REF!</v>
      </c>
      <c r="ER25" s="16"/>
      <c r="ET25" s="265" t="s">
        <v>34</v>
      </c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9"/>
      <c r="FJ25" s="270">
        <f>sum(DT26,DT27,DT29)/3</f>
        <v>100</v>
      </c>
      <c r="FK25" s="18"/>
      <c r="FL25" s="19"/>
      <c r="FN25" s="271"/>
      <c r="FO25" s="272"/>
      <c r="FP25" s="272"/>
      <c r="FQ25" s="272"/>
      <c r="FR25" s="272"/>
      <c r="FS25" s="272"/>
      <c r="FT25" s="272"/>
      <c r="FU25" s="272"/>
      <c r="FV25" s="272"/>
      <c r="FW25" s="272"/>
      <c r="FX25" s="272"/>
      <c r="FY25" s="273"/>
      <c r="FZ25" s="271"/>
      <c r="GA25" s="273"/>
      <c r="GB25" s="274"/>
      <c r="GC25" s="274"/>
      <c r="GD25" s="274"/>
      <c r="GE25" s="274"/>
      <c r="GF25" s="274"/>
      <c r="GG25" s="274"/>
      <c r="GH25" s="274"/>
      <c r="GI25" s="274"/>
      <c r="GJ25" s="274"/>
      <c r="GK25" s="274"/>
      <c r="GL25" s="274"/>
      <c r="GM25" s="274"/>
      <c r="GN25" s="274"/>
      <c r="GO25" s="274"/>
      <c r="GP25" s="274"/>
      <c r="GQ25" s="274"/>
      <c r="GR25" s="274"/>
      <c r="GS25" s="274"/>
      <c r="GT25" s="274"/>
      <c r="GU25" s="274"/>
      <c r="GV25" s="274"/>
      <c r="GW25" s="274"/>
      <c r="GX25" s="274"/>
      <c r="GY25" s="274"/>
      <c r="GZ25" s="274"/>
      <c r="HA25" s="274"/>
      <c r="HB25" s="274"/>
      <c r="HC25" s="274"/>
      <c r="HD25" s="274"/>
      <c r="HE25" s="274"/>
      <c r="HF25" s="274"/>
      <c r="HG25" s="271"/>
      <c r="HH25" s="272"/>
      <c r="HI25" s="273"/>
      <c r="HJ25" s="35"/>
    </row>
    <row r="26" ht="15.0" customHeight="1">
      <c r="A26" s="54"/>
      <c r="B26" s="245"/>
      <c r="D26" s="275" t="s">
        <v>35</v>
      </c>
      <c r="E26" s="5"/>
      <c r="F26" s="5"/>
      <c r="G26" s="5"/>
      <c r="H26" s="5"/>
      <c r="I26" s="5"/>
      <c r="J26" s="5"/>
      <c r="K26" s="5"/>
      <c r="L26" s="5"/>
      <c r="M26" s="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>
        <v>40.0</v>
      </c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T26" s="277" t="s">
        <v>36</v>
      </c>
      <c r="AU26" s="9"/>
      <c r="AV26" s="10"/>
      <c r="AW26" s="278" t="s">
        <v>37</v>
      </c>
      <c r="AX26" s="279">
        <v>10.0</v>
      </c>
      <c r="AY26" s="9"/>
      <c r="AZ26" s="10"/>
      <c r="BA26" s="279">
        <v>10.0</v>
      </c>
      <c r="BB26" s="9"/>
      <c r="BC26" s="10"/>
      <c r="BD26" s="279">
        <v>10.0</v>
      </c>
      <c r="BE26" s="9"/>
      <c r="BF26" s="10"/>
      <c r="BG26" s="279">
        <v>10.0</v>
      </c>
      <c r="BH26" s="9"/>
      <c r="BI26" s="10"/>
      <c r="BJ26" s="279">
        <v>10.0</v>
      </c>
      <c r="BK26" s="9"/>
      <c r="BL26" s="10"/>
      <c r="BM26" s="279">
        <v>10.0</v>
      </c>
      <c r="BN26" s="9"/>
      <c r="BO26" s="10"/>
      <c r="BP26" s="279">
        <v>10.0</v>
      </c>
      <c r="BQ26" s="9"/>
      <c r="BR26" s="10"/>
      <c r="BS26" s="279">
        <v>10.0</v>
      </c>
      <c r="BT26" s="9"/>
      <c r="BU26" s="10"/>
      <c r="BV26" s="279">
        <v>10.0</v>
      </c>
      <c r="BW26" s="9"/>
      <c r="BX26" s="10"/>
      <c r="BY26" s="279">
        <v>10.0</v>
      </c>
      <c r="BZ26" s="9"/>
      <c r="CA26" s="10"/>
      <c r="CB26" s="279">
        <v>10.0</v>
      </c>
      <c r="CC26" s="9"/>
      <c r="CD26" s="10"/>
      <c r="CE26" s="279">
        <v>10.0</v>
      </c>
      <c r="CF26" s="9"/>
      <c r="CG26" s="10"/>
      <c r="CH26" s="279">
        <v>10.0</v>
      </c>
      <c r="CI26" s="9"/>
      <c r="CJ26" s="10"/>
      <c r="CK26" s="279">
        <v>10.0</v>
      </c>
      <c r="CL26" s="9"/>
      <c r="CM26" s="10"/>
      <c r="CN26" s="279">
        <v>10.0</v>
      </c>
      <c r="CO26" s="9"/>
      <c r="CP26" s="10"/>
      <c r="CQ26" s="220"/>
      <c r="CR26" s="249">
        <v>5000.0</v>
      </c>
      <c r="CS26" s="12"/>
      <c r="CT26" s="13"/>
      <c r="CU26" s="268" t="s">
        <v>38</v>
      </c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3"/>
      <c r="DH26" s="251">
        <f t="shared" si="9"/>
        <v>5</v>
      </c>
      <c r="DI26" s="12"/>
      <c r="DJ26" s="13"/>
      <c r="DK26" s="252">
        <v>5.0</v>
      </c>
      <c r="DL26" s="12"/>
      <c r="DM26" s="13"/>
      <c r="DN26" s="253">
        <f t="shared" si="10"/>
        <v>5000</v>
      </c>
      <c r="DO26" s="12"/>
      <c r="DP26" s="13"/>
      <c r="DQ26" s="251">
        <f t="shared" si="11"/>
        <v>5</v>
      </c>
      <c r="DR26" s="12"/>
      <c r="DS26" s="13"/>
      <c r="DT26" s="254">
        <f t="shared" si="12"/>
        <v>100</v>
      </c>
      <c r="DU26" s="12"/>
      <c r="DV26" s="13"/>
      <c r="DW26" s="255" t="str">
        <f t="shared" si="13"/>
        <v>#REF!</v>
      </c>
      <c r="DX26" s="12"/>
      <c r="DY26" s="13"/>
      <c r="EA26" s="256" t="s">
        <v>39</v>
      </c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6"/>
      <c r="EO26" s="257">
        <f>DH25*100/DH24</f>
        <v>50</v>
      </c>
      <c r="EP26" s="16"/>
      <c r="EQ26" s="257" t="str">
        <f>((DH25*100/DH24)+#REF!)/2</f>
        <v>#REF!</v>
      </c>
      <c r="ER26" s="16"/>
      <c r="ET26" s="258" t="s">
        <v>40</v>
      </c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9"/>
      <c r="FJ26" s="259">
        <f>sum(AX35:CP35)</f>
        <v>15000</v>
      </c>
      <c r="FK26" s="18"/>
      <c r="FL26" s="19"/>
      <c r="FN26" s="280" t="s">
        <v>41</v>
      </c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2"/>
      <c r="FZ26" s="281">
        <v>200.0</v>
      </c>
      <c r="GA26" s="22"/>
      <c r="GB26" s="282"/>
      <c r="GC26" s="283"/>
      <c r="GD26" s="282"/>
      <c r="GE26" s="283"/>
      <c r="GF26" s="283"/>
      <c r="GG26" s="282"/>
      <c r="GH26" s="283"/>
      <c r="GI26" s="283"/>
      <c r="GJ26" s="283"/>
      <c r="GK26" s="282"/>
      <c r="GL26" s="282"/>
      <c r="GM26" s="283"/>
      <c r="GN26" s="282"/>
      <c r="GO26" s="283"/>
      <c r="GP26" s="283"/>
      <c r="GQ26" s="282"/>
      <c r="GR26" s="282"/>
      <c r="GS26" s="283"/>
      <c r="GT26" s="283"/>
      <c r="GU26" s="282"/>
      <c r="GV26" s="283"/>
      <c r="GW26" s="283"/>
      <c r="GX26" s="283"/>
      <c r="GY26" s="282"/>
      <c r="GZ26" s="283"/>
      <c r="HA26" s="283"/>
      <c r="HB26" s="283"/>
      <c r="HC26" s="282"/>
      <c r="HD26" s="283"/>
      <c r="HE26" s="283"/>
      <c r="HF26" s="284"/>
      <c r="HG26" s="285">
        <f t="shared" ref="HG26:HG31" si="14">sum(GB26:HF26)*FZ26</f>
        <v>0</v>
      </c>
      <c r="HH26" s="240"/>
      <c r="HI26" s="241"/>
      <c r="HJ26" s="35"/>
    </row>
    <row r="27" ht="15.0" customHeight="1">
      <c r="A27" s="54"/>
      <c r="B27" s="245"/>
      <c r="D27" s="286" t="s">
        <v>42</v>
      </c>
      <c r="E27" s="5"/>
      <c r="F27" s="5"/>
      <c r="G27" s="5"/>
      <c r="H27" s="5"/>
      <c r="I27" s="5"/>
      <c r="J27" s="5"/>
      <c r="K27" s="5"/>
      <c r="L27" s="5"/>
      <c r="M27" s="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>
        <v>40.0</v>
      </c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T27" s="287">
        <f>SUM(AX27:CO27)</f>
        <v>22000</v>
      </c>
      <c r="AU27" s="9"/>
      <c r="AV27" s="9"/>
      <c r="AW27" s="10"/>
      <c r="AX27" s="288">
        <f>(AX24*AX26)/100</f>
        <v>22000</v>
      </c>
      <c r="AY27" s="9"/>
      <c r="AZ27" s="10"/>
      <c r="BA27" s="288">
        <f>(BA24*BA26)/100</f>
        <v>0</v>
      </c>
      <c r="BB27" s="9"/>
      <c r="BC27" s="10"/>
      <c r="BD27" s="288">
        <f>(BD24*BD26)/100</f>
        <v>0</v>
      </c>
      <c r="BE27" s="9"/>
      <c r="BF27" s="10"/>
      <c r="BG27" s="288">
        <f>(BG24*BG26)/100</f>
        <v>0</v>
      </c>
      <c r="BH27" s="9"/>
      <c r="BI27" s="10"/>
      <c r="BJ27" s="288">
        <f>(BJ24*BJ26)/100</f>
        <v>0</v>
      </c>
      <c r="BK27" s="9"/>
      <c r="BL27" s="10"/>
      <c r="BM27" s="288">
        <f>(BM24*BM26)/100</f>
        <v>0</v>
      </c>
      <c r="BN27" s="9"/>
      <c r="BO27" s="10"/>
      <c r="BP27" s="288">
        <f>(BP24*BP26)/100</f>
        <v>0</v>
      </c>
      <c r="BQ27" s="9"/>
      <c r="BR27" s="10"/>
      <c r="BS27" s="288">
        <f>(BS24*BS26)/100</f>
        <v>0</v>
      </c>
      <c r="BT27" s="9"/>
      <c r="BU27" s="10"/>
      <c r="BV27" s="288">
        <f>(BV24*BV26)/100</f>
        <v>0</v>
      </c>
      <c r="BW27" s="9"/>
      <c r="BX27" s="10"/>
      <c r="BY27" s="288">
        <f>(BY24*BY26)/100</f>
        <v>0</v>
      </c>
      <c r="BZ27" s="9"/>
      <c r="CA27" s="10"/>
      <c r="CB27" s="288">
        <f>(CB24*CB26)/100</f>
        <v>0</v>
      </c>
      <c r="CC27" s="9"/>
      <c r="CD27" s="10"/>
      <c r="CE27" s="288">
        <f>(CE24*CE26)/100</f>
        <v>0</v>
      </c>
      <c r="CF27" s="9"/>
      <c r="CG27" s="10"/>
      <c r="CH27" s="288">
        <f>(CH24*CH26)/100</f>
        <v>0</v>
      </c>
      <c r="CI27" s="9"/>
      <c r="CJ27" s="10"/>
      <c r="CK27" s="288">
        <f>(CK24*CK26)/100</f>
        <v>0</v>
      </c>
      <c r="CL27" s="9"/>
      <c r="CM27" s="10"/>
      <c r="CN27" s="288">
        <f>(CN24*CN26)/100</f>
        <v>0</v>
      </c>
      <c r="CO27" s="9"/>
      <c r="CP27" s="10"/>
      <c r="CQ27" s="220"/>
      <c r="CR27" s="249">
        <v>2500.0</v>
      </c>
      <c r="CS27" s="12"/>
      <c r="CT27" s="13"/>
      <c r="CU27" s="250" t="s">
        <v>43</v>
      </c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3"/>
      <c r="DH27" s="251">
        <f t="shared" si="9"/>
        <v>2</v>
      </c>
      <c r="DI27" s="12"/>
      <c r="DJ27" s="13"/>
      <c r="DK27" s="252">
        <v>2.0</v>
      </c>
      <c r="DL27" s="12"/>
      <c r="DM27" s="13"/>
      <c r="DN27" s="253">
        <f t="shared" si="10"/>
        <v>2500</v>
      </c>
      <c r="DO27" s="12"/>
      <c r="DP27" s="13"/>
      <c r="DQ27" s="251">
        <f t="shared" si="11"/>
        <v>2</v>
      </c>
      <c r="DR27" s="12"/>
      <c r="DS27" s="13"/>
      <c r="DT27" s="254">
        <f t="shared" si="12"/>
        <v>100</v>
      </c>
      <c r="DU27" s="12"/>
      <c r="DV27" s="13"/>
      <c r="DW27" s="255" t="str">
        <f t="shared" si="13"/>
        <v>#REF!</v>
      </c>
      <c r="DX27" s="12"/>
      <c r="DY27" s="13"/>
      <c r="EA27" s="256" t="s">
        <v>44</v>
      </c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6"/>
      <c r="EO27" s="257">
        <f>DH26*100/DH24</f>
        <v>12.5</v>
      </c>
      <c r="EP27" s="16"/>
      <c r="EQ27" s="257" t="str">
        <f>((DH26*100/DH24)+#REF!)/2</f>
        <v>#REF!</v>
      </c>
      <c r="ER27" s="16"/>
      <c r="ET27" s="258" t="s">
        <v>45</v>
      </c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9"/>
      <c r="FJ27" s="259">
        <f>AT27</f>
        <v>22000</v>
      </c>
      <c r="FK27" s="18"/>
      <c r="FL27" s="19"/>
      <c r="FN27" s="280" t="s">
        <v>46</v>
      </c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2"/>
      <c r="FZ27" s="281">
        <v>200.0</v>
      </c>
      <c r="GA27" s="22"/>
      <c r="GB27" s="282"/>
      <c r="GC27" s="283"/>
      <c r="GD27" s="282"/>
      <c r="GE27" s="283"/>
      <c r="GF27" s="283"/>
      <c r="GG27" s="283"/>
      <c r="GH27" s="283"/>
      <c r="GI27" s="282"/>
      <c r="GJ27" s="283"/>
      <c r="GK27" s="283"/>
      <c r="GL27" s="283"/>
      <c r="GM27" s="283"/>
      <c r="GN27" s="283"/>
      <c r="GO27" s="283"/>
      <c r="GP27" s="283"/>
      <c r="GQ27" s="283"/>
      <c r="GR27" s="283"/>
      <c r="GS27" s="283"/>
      <c r="GT27" s="283"/>
      <c r="GU27" s="283"/>
      <c r="GV27" s="283"/>
      <c r="GW27" s="283"/>
      <c r="GX27" s="283"/>
      <c r="GY27" s="283"/>
      <c r="GZ27" s="283"/>
      <c r="HA27" s="283"/>
      <c r="HB27" s="283"/>
      <c r="HC27" s="283"/>
      <c r="HD27" s="283"/>
      <c r="HE27" s="283"/>
      <c r="HF27" s="289"/>
      <c r="HG27" s="290">
        <f t="shared" si="14"/>
        <v>0</v>
      </c>
      <c r="HH27" s="291"/>
      <c r="HI27" s="292"/>
      <c r="HJ27" s="35"/>
    </row>
    <row r="28" ht="15.0" customHeight="1">
      <c r="A28" s="54"/>
      <c r="B28" s="245"/>
      <c r="D28" s="293" t="s">
        <v>32</v>
      </c>
      <c r="E28" s="5"/>
      <c r="F28" s="5"/>
      <c r="G28" s="5"/>
      <c r="H28" s="5"/>
      <c r="I28" s="5"/>
      <c r="J28" s="5"/>
      <c r="K28" s="5"/>
      <c r="L28" s="5"/>
      <c r="M28" s="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>
        <v>20.0</v>
      </c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T28" s="277" t="s">
        <v>47</v>
      </c>
      <c r="AU28" s="9"/>
      <c r="AV28" s="10"/>
      <c r="AW28" s="278" t="s">
        <v>37</v>
      </c>
      <c r="AX28" s="279"/>
      <c r="AY28" s="9"/>
      <c r="AZ28" s="10"/>
      <c r="BA28" s="279">
        <v>5.0</v>
      </c>
      <c r="BB28" s="9"/>
      <c r="BC28" s="10"/>
      <c r="BD28" s="279">
        <v>5.0</v>
      </c>
      <c r="BE28" s="9"/>
      <c r="BF28" s="10"/>
      <c r="BG28" s="279">
        <v>5.0</v>
      </c>
      <c r="BH28" s="9"/>
      <c r="BI28" s="10"/>
      <c r="BJ28" s="279">
        <v>5.0</v>
      </c>
      <c r="BK28" s="9"/>
      <c r="BL28" s="10"/>
      <c r="BM28" s="279">
        <v>5.0</v>
      </c>
      <c r="BN28" s="9"/>
      <c r="BO28" s="10"/>
      <c r="BP28" s="279">
        <v>5.0</v>
      </c>
      <c r="BQ28" s="9"/>
      <c r="BR28" s="10"/>
      <c r="BS28" s="279">
        <v>5.0</v>
      </c>
      <c r="BT28" s="9"/>
      <c r="BU28" s="10"/>
      <c r="BV28" s="279">
        <v>5.0</v>
      </c>
      <c r="BW28" s="9"/>
      <c r="BX28" s="10"/>
      <c r="BY28" s="279">
        <v>5.0</v>
      </c>
      <c r="BZ28" s="9"/>
      <c r="CA28" s="10"/>
      <c r="CB28" s="279">
        <v>5.0</v>
      </c>
      <c r="CC28" s="9"/>
      <c r="CD28" s="10"/>
      <c r="CE28" s="279">
        <v>5.0</v>
      </c>
      <c r="CF28" s="9"/>
      <c r="CG28" s="10"/>
      <c r="CH28" s="279">
        <v>5.0</v>
      </c>
      <c r="CI28" s="9"/>
      <c r="CJ28" s="10"/>
      <c r="CK28" s="279">
        <v>5.0</v>
      </c>
      <c r="CL28" s="9"/>
      <c r="CM28" s="10"/>
      <c r="CN28" s="279">
        <v>5.0</v>
      </c>
      <c r="CO28" s="9"/>
      <c r="CP28" s="10"/>
      <c r="CQ28" s="220"/>
      <c r="CR28" s="249"/>
      <c r="CS28" s="12"/>
      <c r="CT28" s="13"/>
      <c r="CU28" s="268" t="s">
        <v>48</v>
      </c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3"/>
      <c r="DH28" s="251">
        <f t="shared" si="9"/>
        <v>3</v>
      </c>
      <c r="DI28" s="12"/>
      <c r="DJ28" s="13"/>
      <c r="DK28" s="252">
        <v>0.0</v>
      </c>
      <c r="DL28" s="12"/>
      <c r="DM28" s="13"/>
      <c r="DN28" s="253">
        <f t="shared" si="10"/>
        <v>0</v>
      </c>
      <c r="DO28" s="12"/>
      <c r="DP28" s="13"/>
      <c r="DQ28" s="251">
        <v>0.0</v>
      </c>
      <c r="DR28" s="12"/>
      <c r="DS28" s="13"/>
      <c r="DT28" s="254">
        <v>0.0</v>
      </c>
      <c r="DU28" s="12"/>
      <c r="DV28" s="13"/>
      <c r="DW28" s="255" t="str">
        <f t="shared" si="13"/>
        <v>#REF!</v>
      </c>
      <c r="DX28" s="12"/>
      <c r="DY28" s="13"/>
      <c r="EA28" s="269" t="s">
        <v>49</v>
      </c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6"/>
      <c r="EO28" s="257">
        <f>DH27*100/DH24</f>
        <v>5</v>
      </c>
      <c r="EP28" s="16"/>
      <c r="EQ28" s="257" t="str">
        <f>((DH27*100/DH24)+#REF!)/2</f>
        <v>#REF!</v>
      </c>
      <c r="ER28" s="16"/>
      <c r="ET28" s="258" t="s">
        <v>50</v>
      </c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9"/>
      <c r="FJ28" s="259">
        <f>AT29</f>
        <v>0</v>
      </c>
      <c r="FK28" s="18"/>
      <c r="FL28" s="19"/>
      <c r="FN28" s="280" t="s">
        <v>51</v>
      </c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2"/>
      <c r="FZ28" s="281">
        <v>500.0</v>
      </c>
      <c r="GA28" s="22"/>
      <c r="GB28" s="282"/>
      <c r="GC28" s="283"/>
      <c r="GD28" s="283"/>
      <c r="GE28" s="283"/>
      <c r="GF28" s="283"/>
      <c r="GG28" s="283"/>
      <c r="GH28" s="283"/>
      <c r="GI28" s="282"/>
      <c r="GJ28" s="283"/>
      <c r="GK28" s="283"/>
      <c r="GL28" s="283"/>
      <c r="GM28" s="283"/>
      <c r="GN28" s="283"/>
      <c r="GO28" s="283"/>
      <c r="GP28" s="283"/>
      <c r="GQ28" s="283"/>
      <c r="GR28" s="283"/>
      <c r="GS28" s="283"/>
      <c r="GT28" s="283"/>
      <c r="GU28" s="283"/>
      <c r="GV28" s="283"/>
      <c r="GW28" s="283"/>
      <c r="GX28" s="283"/>
      <c r="GY28" s="283"/>
      <c r="GZ28" s="283"/>
      <c r="HA28" s="283"/>
      <c r="HB28" s="283"/>
      <c r="HC28" s="283"/>
      <c r="HD28" s="283"/>
      <c r="HE28" s="283"/>
      <c r="HF28" s="284"/>
      <c r="HG28" s="290">
        <f t="shared" si="14"/>
        <v>0</v>
      </c>
      <c r="HH28" s="291"/>
      <c r="HI28" s="292"/>
      <c r="HJ28" s="35"/>
    </row>
    <row r="29" ht="15.0" customHeight="1">
      <c r="A29" s="54"/>
      <c r="B29" s="245"/>
      <c r="D29" s="293" t="s">
        <v>38</v>
      </c>
      <c r="E29" s="5"/>
      <c r="F29" s="5"/>
      <c r="G29" s="5"/>
      <c r="H29" s="5"/>
      <c r="I29" s="5"/>
      <c r="J29" s="5"/>
      <c r="K29" s="5"/>
      <c r="L29" s="5"/>
      <c r="M29" s="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>
        <v>5.0</v>
      </c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T29" s="287">
        <f>SUM(AX29:CO29)</f>
        <v>0</v>
      </c>
      <c r="AU29" s="9"/>
      <c r="AV29" s="9"/>
      <c r="AW29" s="10"/>
      <c r="AX29" s="294">
        <f>(AX24*AX28)/100</f>
        <v>0</v>
      </c>
      <c r="AY29" s="9"/>
      <c r="AZ29" s="10"/>
      <c r="BA29" s="294">
        <f>(BA24*BA28)/100</f>
        <v>0</v>
      </c>
      <c r="BB29" s="9"/>
      <c r="BC29" s="10"/>
      <c r="BD29" s="294">
        <f>(BD24*BD28)/100</f>
        <v>0</v>
      </c>
      <c r="BE29" s="9"/>
      <c r="BF29" s="10"/>
      <c r="BG29" s="294">
        <f>(BG24*BG28)/100</f>
        <v>0</v>
      </c>
      <c r="BH29" s="9"/>
      <c r="BI29" s="10"/>
      <c r="BJ29" s="294">
        <f>(BJ24*BJ28)/100</f>
        <v>0</v>
      </c>
      <c r="BK29" s="9"/>
      <c r="BL29" s="10"/>
      <c r="BM29" s="294">
        <f>(BM24*BM28)/100</f>
        <v>0</v>
      </c>
      <c r="BN29" s="9"/>
      <c r="BO29" s="10"/>
      <c r="BP29" s="294">
        <f>(BP24*BP28)/100</f>
        <v>0</v>
      </c>
      <c r="BQ29" s="9"/>
      <c r="BR29" s="10"/>
      <c r="BS29" s="294">
        <f>(BS24*BS28)/100</f>
        <v>0</v>
      </c>
      <c r="BT29" s="9"/>
      <c r="BU29" s="10"/>
      <c r="BV29" s="294">
        <f>(BV24*BV28)/100</f>
        <v>0</v>
      </c>
      <c r="BW29" s="9"/>
      <c r="BX29" s="10"/>
      <c r="BY29" s="294">
        <f>(BY24*BY28)/100</f>
        <v>0</v>
      </c>
      <c r="BZ29" s="9"/>
      <c r="CA29" s="10"/>
      <c r="CB29" s="294">
        <f>(CB24*CB28)/100</f>
        <v>0</v>
      </c>
      <c r="CC29" s="9"/>
      <c r="CD29" s="10"/>
      <c r="CE29" s="294">
        <f>(CE24*CE28)/100</f>
        <v>0</v>
      </c>
      <c r="CF29" s="9"/>
      <c r="CG29" s="10"/>
      <c r="CH29" s="294">
        <f>(CH24*CH28)/100</f>
        <v>0</v>
      </c>
      <c r="CI29" s="9"/>
      <c r="CJ29" s="10"/>
      <c r="CK29" s="294">
        <f>(CK24*CK28)/100</f>
        <v>0</v>
      </c>
      <c r="CL29" s="9"/>
      <c r="CM29" s="10"/>
      <c r="CN29" s="294">
        <f>(CN24*CN28)/100</f>
        <v>0</v>
      </c>
      <c r="CO29" s="9"/>
      <c r="CP29" s="10"/>
      <c r="CQ29" s="220"/>
      <c r="CR29" s="249">
        <v>2500.0</v>
      </c>
      <c r="CS29" s="12"/>
      <c r="CT29" s="13"/>
      <c r="CU29" s="268" t="s">
        <v>95</v>
      </c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3"/>
      <c r="DH29" s="253">
        <f>SUM(O32:AR32)</f>
        <v>50000</v>
      </c>
      <c r="DI29" s="12"/>
      <c r="DJ29" s="13"/>
      <c r="DK29" s="295">
        <v>40000.0</v>
      </c>
      <c r="DL29" s="12"/>
      <c r="DM29" s="13"/>
      <c r="DN29" s="253">
        <f t="shared" si="10"/>
        <v>2500</v>
      </c>
      <c r="DO29" s="12"/>
      <c r="DP29" s="13"/>
      <c r="DQ29" s="296">
        <f t="shared" ref="DQ29:DQ35" si="15">IF(DH29&lt;DK29,DH29,IF(DH29&gt;=DK29,DK29))</f>
        <v>40000</v>
      </c>
      <c r="DR29" s="12"/>
      <c r="DS29" s="13"/>
      <c r="DT29" s="254">
        <f>DQ29*100/DK29</f>
        <v>100</v>
      </c>
      <c r="DU29" s="12"/>
      <c r="DV29" s="13"/>
      <c r="DW29" s="255" t="str">
        <f t="shared" si="13"/>
        <v>#REF!</v>
      </c>
      <c r="DX29" s="12"/>
      <c r="DY29" s="13"/>
      <c r="EA29" s="256" t="s">
        <v>96</v>
      </c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6"/>
      <c r="EO29" s="257">
        <f>DH26*100/DH25</f>
        <v>25</v>
      </c>
      <c r="EP29" s="16"/>
      <c r="EQ29" s="257" t="str">
        <f>((DH26*100/DH25)+#REF!)/2</f>
        <v>#REF!</v>
      </c>
      <c r="ER29" s="16"/>
      <c r="ET29" s="258" t="s">
        <v>97</v>
      </c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9"/>
      <c r="FJ29" s="259">
        <f>if(FJ25&gt;79,DH29*15%,if(FJ25&lt;80,DH29*5%))</f>
        <v>7500</v>
      </c>
      <c r="FK29" s="18"/>
      <c r="FL29" s="19"/>
      <c r="FN29" s="280" t="s">
        <v>55</v>
      </c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2"/>
      <c r="FZ29" s="281">
        <v>800.0</v>
      </c>
      <c r="GA29" s="22"/>
      <c r="GB29" s="282"/>
      <c r="GC29" s="282"/>
      <c r="GD29" s="283"/>
      <c r="GE29" s="282"/>
      <c r="GF29" s="282"/>
      <c r="GG29" s="282"/>
      <c r="GH29" s="282"/>
      <c r="GI29" s="282"/>
      <c r="GJ29" s="282"/>
      <c r="GK29" s="283"/>
      <c r="GL29" s="283"/>
      <c r="GM29" s="282"/>
      <c r="GN29" s="283"/>
      <c r="GO29" s="283"/>
      <c r="GP29" s="283"/>
      <c r="GQ29" s="283"/>
      <c r="GR29" s="283"/>
      <c r="GS29" s="283"/>
      <c r="GT29" s="283"/>
      <c r="GU29" s="283"/>
      <c r="GV29" s="283"/>
      <c r="GW29" s="283"/>
      <c r="GX29" s="283"/>
      <c r="GY29" s="283"/>
      <c r="GZ29" s="283"/>
      <c r="HA29" s="283"/>
      <c r="HB29" s="283"/>
      <c r="HC29" s="283"/>
      <c r="HD29" s="283"/>
      <c r="HE29" s="283"/>
      <c r="HF29" s="284"/>
      <c r="HG29" s="290">
        <f t="shared" si="14"/>
        <v>0</v>
      </c>
      <c r="HH29" s="291"/>
      <c r="HI29" s="292"/>
      <c r="HJ29" s="35"/>
    </row>
    <row r="30" ht="15.0" customHeight="1">
      <c r="A30" s="54"/>
      <c r="B30" s="245"/>
      <c r="D30" s="275" t="s">
        <v>43</v>
      </c>
      <c r="E30" s="5"/>
      <c r="F30" s="5"/>
      <c r="G30" s="5"/>
      <c r="H30" s="5"/>
      <c r="I30" s="5"/>
      <c r="J30" s="5"/>
      <c r="K30" s="5"/>
      <c r="L30" s="5"/>
      <c r="M30" s="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>
        <v>2.0</v>
      </c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T30" s="297"/>
      <c r="AU30" s="297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297"/>
      <c r="BG30" s="297"/>
      <c r="BH30" s="297"/>
      <c r="BI30" s="297"/>
      <c r="BJ30" s="297"/>
      <c r="BK30" s="297"/>
      <c r="BL30" s="297"/>
      <c r="BM30" s="297"/>
      <c r="BN30" s="297"/>
      <c r="BO30" s="297"/>
      <c r="BP30" s="297"/>
      <c r="BQ30" s="297"/>
      <c r="BR30" s="297"/>
      <c r="BS30" s="297"/>
      <c r="BT30" s="297"/>
      <c r="BU30" s="297"/>
      <c r="BV30" s="297"/>
      <c r="BW30" s="297"/>
      <c r="BX30" s="297"/>
      <c r="BY30" s="297"/>
      <c r="BZ30" s="297"/>
      <c r="CA30" s="297"/>
      <c r="CB30" s="297"/>
      <c r="CC30" s="297"/>
      <c r="CD30" s="297"/>
      <c r="CE30" s="297"/>
      <c r="CF30" s="297"/>
      <c r="CG30" s="297"/>
      <c r="CH30" s="297"/>
      <c r="CI30" s="297"/>
      <c r="CJ30" s="297"/>
      <c r="CK30" s="297"/>
      <c r="CL30" s="297"/>
      <c r="CM30" s="297"/>
      <c r="CN30" s="297"/>
      <c r="CO30" s="297"/>
      <c r="CP30" s="297"/>
      <c r="CQ30" s="220"/>
      <c r="CR30" s="249">
        <v>10000.0</v>
      </c>
      <c r="CS30" s="12"/>
      <c r="CT30" s="13"/>
      <c r="CU30" s="298" t="s">
        <v>98</v>
      </c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23"/>
      <c r="DH30" s="299">
        <f>sum(DH29)</f>
        <v>50000</v>
      </c>
      <c r="DI30" s="24"/>
      <c r="DJ30" s="223"/>
      <c r="DK30" s="300">
        <v>80000.0</v>
      </c>
      <c r="DL30" s="12"/>
      <c r="DM30" s="13"/>
      <c r="DN30" s="253">
        <f t="shared" si="10"/>
        <v>6250</v>
      </c>
      <c r="DO30" s="12"/>
      <c r="DP30" s="13"/>
      <c r="DQ30" s="296">
        <f t="shared" si="15"/>
        <v>50000</v>
      </c>
      <c r="DR30" s="12"/>
      <c r="DS30" s="13"/>
      <c r="DT30" s="301">
        <f t="shared" ref="DT30:DT35" si="16">DH30*100/DK30</f>
        <v>62.5</v>
      </c>
      <c r="DU30" s="12"/>
      <c r="DV30" s="13"/>
      <c r="DW30" s="302" t="str">
        <f t="shared" si="13"/>
        <v>#REF!</v>
      </c>
      <c r="DX30" s="12"/>
      <c r="DY30" s="13"/>
      <c r="DZ30" s="59"/>
      <c r="EA30" s="256" t="s">
        <v>58</v>
      </c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6"/>
      <c r="EO30" s="257">
        <f>DH27*100/DH25</f>
        <v>10</v>
      </c>
      <c r="EP30" s="16"/>
      <c r="EQ30" s="257" t="str">
        <f>((DH27*100/DH25)+#REF!)/2</f>
        <v>#REF!</v>
      </c>
      <c r="ER30" s="16"/>
      <c r="ES30" s="59"/>
      <c r="ET30" s="258" t="s">
        <v>99</v>
      </c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9"/>
      <c r="FJ30" s="259">
        <f>if(FJ25&gt;79,DH29*15%,if(FJ25&lt;80,DH29*5%))+FJ24+FJ26+FJ27+FJ28</f>
        <v>54500</v>
      </c>
      <c r="FK30" s="18"/>
      <c r="FL30" s="19"/>
      <c r="FN30" s="280" t="s">
        <v>60</v>
      </c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2"/>
      <c r="FZ30" s="281">
        <v>1500.0</v>
      </c>
      <c r="GA30" s="22"/>
      <c r="GB30" s="283"/>
      <c r="GC30" s="283"/>
      <c r="GD30" s="283"/>
      <c r="GE30" s="283"/>
      <c r="GF30" s="283"/>
      <c r="GG30" s="283"/>
      <c r="GH30" s="283"/>
      <c r="GI30" s="282"/>
      <c r="GJ30" s="282"/>
      <c r="GK30" s="283"/>
      <c r="GL30" s="282"/>
      <c r="GM30" s="282"/>
      <c r="GN30" s="282"/>
      <c r="GO30" s="283"/>
      <c r="GP30" s="283"/>
      <c r="GQ30" s="283"/>
      <c r="GR30" s="283"/>
      <c r="GS30" s="283"/>
      <c r="GT30" s="283"/>
      <c r="GU30" s="283"/>
      <c r="GV30" s="283"/>
      <c r="GW30" s="283"/>
      <c r="GX30" s="283"/>
      <c r="GY30" s="283"/>
      <c r="GZ30" s="283"/>
      <c r="HA30" s="282"/>
      <c r="HB30" s="283"/>
      <c r="HC30" s="283"/>
      <c r="HD30" s="283"/>
      <c r="HE30" s="283"/>
      <c r="HF30" s="284"/>
      <c r="HG30" s="290">
        <f t="shared" si="14"/>
        <v>0</v>
      </c>
      <c r="HH30" s="291"/>
      <c r="HI30" s="292"/>
      <c r="HJ30" s="35"/>
    </row>
    <row r="31" ht="15.0" customHeight="1">
      <c r="A31" s="54"/>
      <c r="B31" s="245"/>
      <c r="D31" s="293" t="s">
        <v>48</v>
      </c>
      <c r="E31" s="5"/>
      <c r="F31" s="5"/>
      <c r="G31" s="5"/>
      <c r="H31" s="5"/>
      <c r="I31" s="5"/>
      <c r="J31" s="5"/>
      <c r="K31" s="5"/>
      <c r="L31" s="5"/>
      <c r="M31" s="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>
        <v>3.0</v>
      </c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276"/>
      <c r="AP31" s="276"/>
      <c r="AQ31" s="276"/>
      <c r="AR31" s="276"/>
      <c r="AT31" s="303" t="s">
        <v>56</v>
      </c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10"/>
      <c r="CQ31" s="220"/>
      <c r="CR31" s="249">
        <v>2500.0</v>
      </c>
      <c r="CS31" s="12"/>
      <c r="CT31" s="13"/>
      <c r="CU31" s="298" t="s">
        <v>100</v>
      </c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23"/>
      <c r="DH31" s="299">
        <f>sum(AX34:CP34)</f>
        <v>75000</v>
      </c>
      <c r="DI31" s="24"/>
      <c r="DJ31" s="223"/>
      <c r="DK31" s="300">
        <v>75000.0</v>
      </c>
      <c r="DL31" s="12"/>
      <c r="DM31" s="13"/>
      <c r="DN31" s="253">
        <f t="shared" si="10"/>
        <v>2500</v>
      </c>
      <c r="DO31" s="12"/>
      <c r="DP31" s="13"/>
      <c r="DQ31" s="296">
        <f t="shared" si="15"/>
        <v>75000</v>
      </c>
      <c r="DR31" s="12"/>
      <c r="DS31" s="13"/>
      <c r="DT31" s="301">
        <f t="shared" si="16"/>
        <v>100</v>
      </c>
      <c r="DU31" s="12"/>
      <c r="DV31" s="13"/>
      <c r="DW31" s="255" t="str">
        <f t="shared" si="13"/>
        <v>#REF!</v>
      </c>
      <c r="DX31" s="12"/>
      <c r="DY31" s="13"/>
      <c r="DZ31" s="304"/>
      <c r="EA31" s="256" t="s">
        <v>71</v>
      </c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6"/>
      <c r="EO31" s="257">
        <f>DH27*100/DH26</f>
        <v>40</v>
      </c>
      <c r="EP31" s="16"/>
      <c r="EQ31" s="257" t="str">
        <f>((DH27*100/DH26)+#REF!)/2</f>
        <v>#REF!</v>
      </c>
      <c r="ER31" s="16"/>
      <c r="ES31" s="220"/>
      <c r="ET31" s="305" t="s">
        <v>24</v>
      </c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9"/>
      <c r="FJ31" s="306">
        <f>if(DH30&gt;=DK30,FJ30+CR30,if(DH30&lt;DK30,FJ30))-HG32</f>
        <v>54500</v>
      </c>
      <c r="FK31" s="18"/>
      <c r="FL31" s="19"/>
      <c r="FM31" s="59"/>
      <c r="FN31" s="307" t="s">
        <v>72</v>
      </c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2"/>
      <c r="FZ31" s="281">
        <v>1000.0</v>
      </c>
      <c r="GA31" s="22"/>
      <c r="GB31" s="308"/>
      <c r="GC31" s="309"/>
      <c r="GD31" s="308"/>
      <c r="GE31" s="308"/>
      <c r="GF31" s="308"/>
      <c r="GG31" s="308"/>
      <c r="GH31" s="309"/>
      <c r="GI31" s="308"/>
      <c r="GJ31" s="308"/>
      <c r="GK31" s="308"/>
      <c r="GL31" s="309"/>
      <c r="GM31" s="308"/>
      <c r="GN31" s="309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10"/>
      <c r="HF31" s="311"/>
      <c r="HG31" s="290">
        <f t="shared" si="14"/>
        <v>0</v>
      </c>
      <c r="HH31" s="291"/>
      <c r="HI31" s="292"/>
      <c r="HJ31" s="35"/>
    </row>
    <row r="32" ht="15.0" customHeight="1">
      <c r="A32" s="54"/>
      <c r="B32" s="245"/>
      <c r="D32" s="312" t="s">
        <v>52</v>
      </c>
      <c r="E32" s="27"/>
      <c r="F32" s="27"/>
      <c r="G32" s="27"/>
      <c r="H32" s="27"/>
      <c r="I32" s="27"/>
      <c r="J32" s="27"/>
      <c r="K32" s="27"/>
      <c r="L32" s="27"/>
      <c r="M32" s="28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>
        <v>50000.0</v>
      </c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T32" s="227" t="s">
        <v>9</v>
      </c>
      <c r="AU32" s="228"/>
      <c r="AV32" s="228"/>
      <c r="AW32" s="229"/>
      <c r="AX32" s="314"/>
      <c r="AY32" s="228"/>
      <c r="AZ32" s="229"/>
      <c r="BA32" s="314"/>
      <c r="BB32" s="228"/>
      <c r="BC32" s="229"/>
      <c r="BD32" s="314"/>
      <c r="BE32" s="228"/>
      <c r="BF32" s="229"/>
      <c r="BG32" s="314"/>
      <c r="BH32" s="228"/>
      <c r="BI32" s="229"/>
      <c r="BJ32" s="314"/>
      <c r="BK32" s="228"/>
      <c r="BL32" s="229"/>
      <c r="BM32" s="314"/>
      <c r="BN32" s="228"/>
      <c r="BO32" s="229"/>
      <c r="BP32" s="314"/>
      <c r="BQ32" s="228"/>
      <c r="BR32" s="229"/>
      <c r="BS32" s="314"/>
      <c r="BT32" s="228"/>
      <c r="BU32" s="229"/>
      <c r="BV32" s="314"/>
      <c r="BW32" s="228"/>
      <c r="BX32" s="229"/>
      <c r="BY32" s="314"/>
      <c r="BZ32" s="228"/>
      <c r="CA32" s="229"/>
      <c r="CB32" s="314"/>
      <c r="CC32" s="228"/>
      <c r="CD32" s="229"/>
      <c r="CE32" s="314"/>
      <c r="CF32" s="228"/>
      <c r="CG32" s="229"/>
      <c r="CH32" s="314"/>
      <c r="CI32" s="228"/>
      <c r="CJ32" s="229"/>
      <c r="CK32" s="314"/>
      <c r="CL32" s="228"/>
      <c r="CM32" s="229"/>
      <c r="CN32" s="314"/>
      <c r="CO32" s="228"/>
      <c r="CP32" s="229"/>
      <c r="CQ32" s="220"/>
      <c r="CR32" s="249">
        <v>2500.0</v>
      </c>
      <c r="CS32" s="12"/>
      <c r="CT32" s="13"/>
      <c r="CU32" s="298" t="s">
        <v>105</v>
      </c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23"/>
      <c r="DH32" s="299">
        <f>sum(DH29+DH31)</f>
        <v>125000</v>
      </c>
      <c r="DI32" s="24"/>
      <c r="DJ32" s="223"/>
      <c r="DK32" s="300">
        <v>150000.0</v>
      </c>
      <c r="DL32" s="12"/>
      <c r="DM32" s="13"/>
      <c r="DN32" s="253">
        <f t="shared" si="10"/>
        <v>2083.333333</v>
      </c>
      <c r="DO32" s="12"/>
      <c r="DP32" s="13"/>
      <c r="DQ32" s="296">
        <f t="shared" si="15"/>
        <v>125000</v>
      </c>
      <c r="DR32" s="12"/>
      <c r="DS32" s="13"/>
      <c r="DT32" s="301">
        <f t="shared" si="16"/>
        <v>83.33333333</v>
      </c>
      <c r="DU32" s="12"/>
      <c r="DV32" s="13"/>
      <c r="DW32" s="255" t="str">
        <f t="shared" si="13"/>
        <v>#REF!</v>
      </c>
      <c r="DX32" s="12"/>
      <c r="DY32" s="13"/>
      <c r="DZ32" s="315"/>
      <c r="EA32" s="316"/>
      <c r="EB32" s="316"/>
      <c r="EC32" s="316"/>
      <c r="ED32" s="316"/>
      <c r="EE32" s="316"/>
      <c r="EF32" s="316"/>
      <c r="EG32" s="316"/>
      <c r="EH32" s="316"/>
      <c r="EI32" s="316"/>
      <c r="EJ32" s="316"/>
      <c r="EK32" s="316"/>
      <c r="EL32" s="316"/>
      <c r="EM32" s="316"/>
      <c r="EN32" s="316"/>
      <c r="EO32" s="316"/>
      <c r="EP32" s="316"/>
      <c r="EQ32" s="316"/>
      <c r="ER32" s="316"/>
      <c r="ES32" s="317"/>
      <c r="ET32" s="318"/>
      <c r="EU32" s="318"/>
      <c r="EV32" s="318"/>
      <c r="EW32" s="318"/>
      <c r="EX32" s="318"/>
      <c r="EY32" s="318"/>
      <c r="EZ32" s="318"/>
      <c r="FA32" s="318"/>
      <c r="FB32" s="318"/>
      <c r="FC32" s="318"/>
      <c r="FD32" s="318"/>
      <c r="FE32" s="318"/>
      <c r="FF32" s="318"/>
      <c r="FG32" s="318"/>
      <c r="FH32" s="319"/>
      <c r="FI32" s="320"/>
      <c r="FJ32" s="321"/>
      <c r="FK32" s="322"/>
      <c r="FL32" s="320"/>
      <c r="FM32" s="317"/>
      <c r="FN32" s="316"/>
      <c r="FO32" s="316"/>
      <c r="FP32" s="316"/>
      <c r="FQ32" s="316"/>
      <c r="FR32" s="316"/>
      <c r="FS32" s="316"/>
      <c r="FT32" s="316"/>
      <c r="FU32" s="316"/>
      <c r="FV32" s="316"/>
      <c r="FW32" s="316"/>
      <c r="FX32" s="316"/>
      <c r="FY32" s="316"/>
      <c r="FZ32" s="316"/>
      <c r="GA32" s="316"/>
      <c r="GB32" s="316"/>
      <c r="GC32" s="316"/>
      <c r="GD32" s="316"/>
      <c r="GE32" s="316"/>
      <c r="GF32" s="316"/>
      <c r="GG32" s="316"/>
      <c r="GH32" s="316"/>
      <c r="GI32" s="316"/>
      <c r="GJ32" s="316"/>
      <c r="GK32" s="316"/>
      <c r="GL32" s="316"/>
      <c r="GM32" s="316"/>
      <c r="GN32" s="316"/>
      <c r="GO32" s="316"/>
      <c r="GP32" s="316"/>
      <c r="GQ32" s="316"/>
      <c r="GR32" s="316"/>
      <c r="GS32" s="316"/>
      <c r="GT32" s="316"/>
      <c r="GU32" s="316"/>
      <c r="GV32" s="316"/>
      <c r="GW32" s="316"/>
      <c r="GX32" s="316"/>
      <c r="GY32" s="316"/>
      <c r="GZ32" s="316"/>
      <c r="HA32" s="316"/>
      <c r="HB32" s="316"/>
      <c r="HC32" s="316"/>
      <c r="HD32" s="323"/>
      <c r="HE32" s="324" t="s">
        <v>24</v>
      </c>
      <c r="HF32" s="22"/>
      <c r="HG32" s="325">
        <f>sum(HG26:HG31)</f>
        <v>0</v>
      </c>
      <c r="HH32" s="326"/>
      <c r="HI32" s="327"/>
      <c r="HJ32" s="60"/>
    </row>
    <row r="33" ht="15.0" customHeight="1">
      <c r="A33" s="54"/>
      <c r="B33" s="245"/>
      <c r="D33" s="55"/>
      <c r="M33" s="33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T33" s="246"/>
      <c r="AU33" s="247"/>
      <c r="AV33" s="247"/>
      <c r="AW33" s="248"/>
      <c r="AX33" s="246"/>
      <c r="AY33" s="247"/>
      <c r="AZ33" s="248"/>
      <c r="BA33" s="246"/>
      <c r="BB33" s="247"/>
      <c r="BC33" s="248"/>
      <c r="BD33" s="246"/>
      <c r="BE33" s="247"/>
      <c r="BF33" s="248"/>
      <c r="BG33" s="246"/>
      <c r="BH33" s="247"/>
      <c r="BI33" s="248"/>
      <c r="BJ33" s="246"/>
      <c r="BK33" s="247"/>
      <c r="BL33" s="248"/>
      <c r="BM33" s="246"/>
      <c r="BN33" s="247"/>
      <c r="BO33" s="248"/>
      <c r="BP33" s="246"/>
      <c r="BQ33" s="247"/>
      <c r="BR33" s="248"/>
      <c r="BS33" s="246"/>
      <c r="BT33" s="247"/>
      <c r="BU33" s="248"/>
      <c r="BV33" s="246"/>
      <c r="BW33" s="247"/>
      <c r="BX33" s="248"/>
      <c r="BY33" s="246"/>
      <c r="BZ33" s="247"/>
      <c r="CA33" s="248"/>
      <c r="CB33" s="246"/>
      <c r="CC33" s="247"/>
      <c r="CD33" s="248"/>
      <c r="CE33" s="246"/>
      <c r="CF33" s="247"/>
      <c r="CG33" s="248"/>
      <c r="CH33" s="246"/>
      <c r="CI33" s="247"/>
      <c r="CJ33" s="248"/>
      <c r="CK33" s="246"/>
      <c r="CL33" s="247"/>
      <c r="CM33" s="248"/>
      <c r="CN33" s="246"/>
      <c r="CO33" s="247"/>
      <c r="CP33" s="248"/>
      <c r="CQ33" s="220"/>
      <c r="CR33" s="249">
        <v>1000.0</v>
      </c>
      <c r="CS33" s="12"/>
      <c r="CT33" s="13"/>
      <c r="CU33" s="328" t="s">
        <v>73</v>
      </c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23"/>
      <c r="DH33" s="299">
        <f>DH29/DH27</f>
        <v>25000</v>
      </c>
      <c r="DI33" s="24"/>
      <c r="DJ33" s="223"/>
      <c r="DK33" s="300">
        <v>25000.0</v>
      </c>
      <c r="DL33" s="12"/>
      <c r="DM33" s="13"/>
      <c r="DN33" s="253">
        <f t="shared" si="10"/>
        <v>1000</v>
      </c>
      <c r="DO33" s="12"/>
      <c r="DP33" s="13"/>
      <c r="DQ33" s="296">
        <f t="shared" si="15"/>
        <v>25000</v>
      </c>
      <c r="DR33" s="12"/>
      <c r="DS33" s="13"/>
      <c r="DT33" s="301">
        <f t="shared" si="16"/>
        <v>100</v>
      </c>
      <c r="DU33" s="12"/>
      <c r="DV33" s="13"/>
      <c r="DW33" s="255" t="str">
        <f t="shared" si="13"/>
        <v>#REF!</v>
      </c>
      <c r="DX33" s="12"/>
      <c r="DY33" s="13"/>
      <c r="DZ33" s="315"/>
      <c r="EA33" s="317"/>
      <c r="EB33" s="317"/>
      <c r="EC33" s="317"/>
      <c r="ED33" s="317"/>
      <c r="EE33" s="317"/>
      <c r="EF33" s="317"/>
      <c r="EG33" s="317"/>
      <c r="EH33" s="317"/>
      <c r="EI33" s="317"/>
      <c r="EJ33" s="317"/>
      <c r="EK33" s="317"/>
      <c r="EL33" s="317"/>
      <c r="EM33" s="317"/>
      <c r="EN33" s="317"/>
      <c r="EO33" s="317"/>
      <c r="EP33" s="317"/>
      <c r="EQ33" s="317"/>
      <c r="ER33" s="317"/>
      <c r="ES33" s="317"/>
      <c r="ET33" s="317"/>
      <c r="EU33" s="317"/>
      <c r="EV33" s="317"/>
      <c r="EW33" s="317"/>
      <c r="EX33" s="317"/>
      <c r="EY33" s="317"/>
      <c r="EZ33" s="317"/>
      <c r="FA33" s="317"/>
      <c r="FB33" s="317"/>
      <c r="FC33" s="317"/>
      <c r="FD33" s="317"/>
      <c r="FE33" s="317"/>
      <c r="FF33" s="317"/>
      <c r="FG33" s="317"/>
      <c r="FH33" s="317"/>
      <c r="FI33" s="317"/>
      <c r="FJ33" s="317"/>
      <c r="FK33" s="317"/>
      <c r="FL33" s="317"/>
      <c r="FM33" s="317"/>
      <c r="FN33" s="317"/>
      <c r="FO33" s="317"/>
      <c r="FP33" s="317"/>
      <c r="FQ33" s="317"/>
      <c r="FR33" s="317"/>
      <c r="FS33" s="317"/>
      <c r="FT33" s="317"/>
      <c r="FU33" s="317"/>
      <c r="FV33" s="317"/>
      <c r="FW33" s="317"/>
      <c r="FX33" s="317"/>
      <c r="FY33" s="317"/>
      <c r="FZ33" s="317"/>
      <c r="GA33" s="317"/>
      <c r="GB33" s="317"/>
      <c r="GC33" s="317"/>
      <c r="GD33" s="317"/>
      <c r="GE33" s="317"/>
      <c r="GF33" s="317"/>
      <c r="GG33" s="317"/>
      <c r="GH33" s="317"/>
      <c r="GI33" s="317"/>
      <c r="GJ33" s="317"/>
      <c r="GK33" s="317"/>
      <c r="GL33" s="317"/>
      <c r="GM33" s="317"/>
      <c r="GN33" s="317"/>
      <c r="GO33" s="317"/>
      <c r="GP33" s="317"/>
      <c r="GQ33" s="317"/>
      <c r="GR33" s="317"/>
      <c r="GS33" s="317"/>
      <c r="GT33" s="317"/>
      <c r="GU33" s="317"/>
      <c r="GV33" s="317"/>
      <c r="GW33" s="317"/>
      <c r="GX33" s="317"/>
      <c r="GY33" s="317"/>
      <c r="GZ33" s="317"/>
      <c r="HA33" s="317"/>
      <c r="HB33" s="317"/>
      <c r="HC33" s="317"/>
      <c r="HD33" s="317"/>
      <c r="HE33" s="316"/>
      <c r="HF33" s="316"/>
      <c r="HG33" s="316"/>
      <c r="HH33" s="316"/>
      <c r="HI33" s="316"/>
      <c r="HJ33" s="317"/>
    </row>
    <row r="34" ht="15.0" customHeight="1">
      <c r="A34" s="54"/>
      <c r="B34" s="245"/>
      <c r="D34" s="55"/>
      <c r="M34" s="33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T34" s="263" t="s">
        <v>21</v>
      </c>
      <c r="AU34" s="9"/>
      <c r="AV34" s="9"/>
      <c r="AW34" s="10"/>
      <c r="AX34" s="329">
        <v>10000.0</v>
      </c>
      <c r="AY34" s="9"/>
      <c r="AZ34" s="10"/>
      <c r="BA34" s="329">
        <v>10000.0</v>
      </c>
      <c r="BB34" s="9"/>
      <c r="BC34" s="10"/>
      <c r="BD34" s="329">
        <v>10000.0</v>
      </c>
      <c r="BE34" s="9"/>
      <c r="BF34" s="10"/>
      <c r="BG34" s="329">
        <v>10000.0</v>
      </c>
      <c r="BH34" s="9"/>
      <c r="BI34" s="10"/>
      <c r="BJ34" s="329">
        <v>5000.0</v>
      </c>
      <c r="BK34" s="9"/>
      <c r="BL34" s="10"/>
      <c r="BM34" s="329">
        <v>10000.0</v>
      </c>
      <c r="BN34" s="9"/>
      <c r="BO34" s="10"/>
      <c r="BP34" s="329">
        <v>10000.0</v>
      </c>
      <c r="BQ34" s="9"/>
      <c r="BR34" s="10"/>
      <c r="BS34" s="329">
        <v>10000.0</v>
      </c>
      <c r="BT34" s="9"/>
      <c r="BU34" s="10"/>
      <c r="BV34" s="329"/>
      <c r="BW34" s="9"/>
      <c r="BX34" s="10"/>
      <c r="BY34" s="329"/>
      <c r="BZ34" s="9"/>
      <c r="CA34" s="10"/>
      <c r="CB34" s="329"/>
      <c r="CC34" s="9"/>
      <c r="CD34" s="10"/>
      <c r="CE34" s="329"/>
      <c r="CF34" s="9"/>
      <c r="CG34" s="10"/>
      <c r="CH34" s="329"/>
      <c r="CI34" s="9"/>
      <c r="CJ34" s="10"/>
      <c r="CK34" s="329"/>
      <c r="CL34" s="9"/>
      <c r="CM34" s="10"/>
      <c r="CN34" s="329"/>
      <c r="CO34" s="9"/>
      <c r="CP34" s="10"/>
      <c r="CQ34" s="220"/>
      <c r="CR34" s="249">
        <v>2000.0</v>
      </c>
      <c r="CS34" s="12"/>
      <c r="CT34" s="13"/>
      <c r="CU34" s="268" t="s">
        <v>84</v>
      </c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3"/>
      <c r="DH34" s="255">
        <f>(DH28/DH27)</f>
        <v>1.5</v>
      </c>
      <c r="DI34" s="12"/>
      <c r="DJ34" s="13"/>
      <c r="DK34" s="340">
        <v>45047.0</v>
      </c>
      <c r="DL34" s="12"/>
      <c r="DM34" s="13"/>
      <c r="DN34" s="253">
        <f t="shared" si="10"/>
        <v>0.06659710969</v>
      </c>
      <c r="DO34" s="12"/>
      <c r="DP34" s="13"/>
      <c r="DQ34" s="296">
        <f t="shared" si="15"/>
        <v>1.5</v>
      </c>
      <c r="DR34" s="12"/>
      <c r="DS34" s="13"/>
      <c r="DT34" s="301">
        <f t="shared" si="16"/>
        <v>0.003329855484</v>
      </c>
      <c r="DU34" s="12"/>
      <c r="DV34" s="13"/>
      <c r="DW34" s="255" t="str">
        <f t="shared" si="13"/>
        <v>#REF!</v>
      </c>
      <c r="DX34" s="12"/>
      <c r="DY34" s="13"/>
      <c r="DZ34" s="315"/>
      <c r="EA34" s="317"/>
      <c r="EB34" s="317"/>
      <c r="EC34" s="317"/>
      <c r="ED34" s="317"/>
      <c r="EE34" s="317"/>
      <c r="EF34" s="317"/>
      <c r="EG34" s="317"/>
      <c r="EH34" s="317"/>
      <c r="EI34" s="317"/>
      <c r="EJ34" s="317"/>
      <c r="EK34" s="317"/>
      <c r="EL34" s="317"/>
      <c r="EM34" s="317"/>
      <c r="EN34" s="317"/>
      <c r="EO34" s="317"/>
      <c r="EP34" s="317"/>
      <c r="EQ34" s="317"/>
      <c r="ER34" s="317"/>
      <c r="ES34" s="317"/>
      <c r="ET34" s="317"/>
      <c r="EU34" s="317"/>
      <c r="EV34" s="317"/>
      <c r="EW34" s="317"/>
      <c r="EX34" s="317"/>
      <c r="EY34" s="317"/>
      <c r="EZ34" s="317"/>
      <c r="FA34" s="317"/>
      <c r="FB34" s="317"/>
      <c r="FC34" s="317"/>
      <c r="FD34" s="317"/>
      <c r="FE34" s="317"/>
      <c r="FF34" s="317"/>
      <c r="FG34" s="317"/>
      <c r="FH34" s="317"/>
      <c r="FI34" s="317"/>
      <c r="FJ34" s="317"/>
      <c r="FK34" s="317"/>
      <c r="FL34" s="317"/>
      <c r="FM34" s="317"/>
      <c r="FN34" s="317"/>
      <c r="FO34" s="317"/>
      <c r="FP34" s="317"/>
      <c r="FQ34" s="317"/>
      <c r="FR34" s="317"/>
      <c r="FS34" s="317"/>
      <c r="FT34" s="317"/>
      <c r="FU34" s="317"/>
      <c r="FV34" s="317"/>
      <c r="FW34" s="317"/>
      <c r="FX34" s="317"/>
      <c r="FY34" s="317"/>
      <c r="FZ34" s="317"/>
      <c r="GA34" s="317"/>
      <c r="GB34" s="317"/>
      <c r="GC34" s="317"/>
      <c r="GD34" s="317"/>
      <c r="GE34" s="317"/>
      <c r="GF34" s="317"/>
      <c r="GG34" s="317"/>
      <c r="GH34" s="317"/>
      <c r="GI34" s="317"/>
      <c r="GJ34" s="317"/>
      <c r="GK34" s="317"/>
      <c r="GL34" s="317"/>
      <c r="GM34" s="317"/>
      <c r="GN34" s="317"/>
      <c r="GO34" s="317"/>
      <c r="GP34" s="317"/>
      <c r="GQ34" s="317"/>
      <c r="GR34" s="317"/>
      <c r="GS34" s="317"/>
      <c r="GT34" s="317"/>
      <c r="GU34" s="317"/>
      <c r="GV34" s="317"/>
      <c r="GW34" s="317"/>
      <c r="GX34" s="317"/>
      <c r="GY34" s="317"/>
      <c r="GZ34" s="317"/>
      <c r="HA34" s="317"/>
      <c r="HB34" s="317"/>
      <c r="HC34" s="317"/>
      <c r="HD34" s="317"/>
      <c r="HE34" s="317"/>
      <c r="HF34" s="317"/>
      <c r="HG34" s="317"/>
      <c r="HH34" s="317"/>
      <c r="HI34" s="317"/>
      <c r="HJ34" s="317"/>
    </row>
    <row r="35" ht="15.0" customHeight="1">
      <c r="A35" s="162"/>
      <c r="B35" s="331"/>
      <c r="C35" s="59"/>
      <c r="D35" s="57"/>
      <c r="E35" s="39"/>
      <c r="F35" s="39"/>
      <c r="G35" s="39"/>
      <c r="H35" s="39"/>
      <c r="I35" s="39"/>
      <c r="J35" s="39"/>
      <c r="K35" s="39"/>
      <c r="L35" s="39"/>
      <c r="M35" s="40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59"/>
      <c r="AT35" s="332">
        <v>20.0</v>
      </c>
      <c r="AU35" s="9"/>
      <c r="AV35" s="10"/>
      <c r="AW35" s="333" t="s">
        <v>37</v>
      </c>
      <c r="AX35" s="334">
        <f>AX34*AT35/100</f>
        <v>2000</v>
      </c>
      <c r="AY35" s="9"/>
      <c r="AZ35" s="10"/>
      <c r="BA35" s="334">
        <f>BA34*AT35/100</f>
        <v>2000</v>
      </c>
      <c r="BB35" s="9"/>
      <c r="BC35" s="10"/>
      <c r="BD35" s="334">
        <f>BD34*AT35/100</f>
        <v>2000</v>
      </c>
      <c r="BE35" s="9"/>
      <c r="BF35" s="10"/>
      <c r="BG35" s="334">
        <f>BG34*AT35/100</f>
        <v>2000</v>
      </c>
      <c r="BH35" s="9"/>
      <c r="BI35" s="10"/>
      <c r="BJ35" s="334">
        <f>BJ34*AT35/100</f>
        <v>1000</v>
      </c>
      <c r="BK35" s="9"/>
      <c r="BL35" s="10"/>
      <c r="BM35" s="334">
        <f>BM34*AT35/100</f>
        <v>2000</v>
      </c>
      <c r="BN35" s="9"/>
      <c r="BO35" s="10"/>
      <c r="BP35" s="334">
        <f>BP34*AT35/100</f>
        <v>2000</v>
      </c>
      <c r="BQ35" s="9"/>
      <c r="BR35" s="10"/>
      <c r="BS35" s="334">
        <f>BS34*AT35/100</f>
        <v>2000</v>
      </c>
      <c r="BT35" s="9"/>
      <c r="BU35" s="10"/>
      <c r="BV35" s="334">
        <f>BV34*AT35/100</f>
        <v>0</v>
      </c>
      <c r="BW35" s="9"/>
      <c r="BX35" s="10"/>
      <c r="BY35" s="334">
        <f>BY34*HH34/100</f>
        <v>0</v>
      </c>
      <c r="BZ35" s="9"/>
      <c r="CA35" s="10"/>
      <c r="CB35" s="334">
        <f>CB34*AT35/100</f>
        <v>0</v>
      </c>
      <c r="CC35" s="9"/>
      <c r="CD35" s="10"/>
      <c r="CE35" s="334">
        <f>CE34*AT35/100</f>
        <v>0</v>
      </c>
      <c r="CF35" s="9"/>
      <c r="CG35" s="10"/>
      <c r="CH35" s="334">
        <f>CH34*AT35/100</f>
        <v>0</v>
      </c>
      <c r="CI35" s="9"/>
      <c r="CJ35" s="10"/>
      <c r="CK35" s="334">
        <f>CK34*AT35/100</f>
        <v>0</v>
      </c>
      <c r="CL35" s="9"/>
      <c r="CM35" s="10"/>
      <c r="CN35" s="334">
        <f>CN34*AT35/100</f>
        <v>0</v>
      </c>
      <c r="CO35" s="9"/>
      <c r="CP35" s="10"/>
      <c r="CQ35" s="335"/>
      <c r="CR35" s="249">
        <f>sum(CR23:CT29,CR31,CR32,CR33,CR34)</f>
        <v>20000</v>
      </c>
      <c r="CS35" s="12"/>
      <c r="CT35" s="13"/>
      <c r="CU35" s="268" t="s">
        <v>34</v>
      </c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3"/>
      <c r="DH35" s="336">
        <f>sum(DT23,DT26,DT27,DT29,DT31,DT32,DT33,DT34)/8</f>
        <v>85.4170829</v>
      </c>
      <c r="DI35" s="12"/>
      <c r="DJ35" s="13"/>
      <c r="DK35" s="330">
        <v>100.0</v>
      </c>
      <c r="DL35" s="12"/>
      <c r="DM35" s="13"/>
      <c r="DN35" s="253" t="str">
        <f>sum(DN23,DN26,DN27,DN29,DN31,DN33,DN34,DN35)</f>
        <v>#REF!</v>
      </c>
      <c r="DO35" s="12"/>
      <c r="DP35" s="13"/>
      <c r="DQ35" s="296">
        <f t="shared" si="15"/>
        <v>85.4170829</v>
      </c>
      <c r="DR35" s="12"/>
      <c r="DS35" s="13"/>
      <c r="DT35" s="301">
        <f t="shared" si="16"/>
        <v>85.4170829</v>
      </c>
      <c r="DU35" s="12"/>
      <c r="DV35" s="13"/>
      <c r="DW35" s="254" t="str">
        <f t="shared" si="13"/>
        <v>#REF!</v>
      </c>
      <c r="DX35" s="12"/>
      <c r="DY35" s="13"/>
      <c r="DZ35" s="315"/>
      <c r="EA35" s="317"/>
      <c r="EB35" s="317"/>
      <c r="EC35" s="317"/>
      <c r="ED35" s="317"/>
      <c r="EE35" s="317"/>
      <c r="EF35" s="317"/>
      <c r="EG35" s="317"/>
      <c r="EH35" s="317"/>
      <c r="EI35" s="317"/>
      <c r="EJ35" s="317"/>
      <c r="EK35" s="317"/>
      <c r="EL35" s="317"/>
      <c r="EM35" s="317"/>
      <c r="EN35" s="317"/>
      <c r="EO35" s="317"/>
      <c r="EP35" s="317"/>
      <c r="EQ35" s="317"/>
      <c r="ER35" s="317"/>
      <c r="ES35" s="317"/>
      <c r="ET35" s="317"/>
      <c r="EU35" s="317"/>
      <c r="EV35" s="317"/>
      <c r="EW35" s="317"/>
      <c r="EX35" s="317"/>
      <c r="EY35" s="317"/>
      <c r="EZ35" s="317"/>
      <c r="FA35" s="317"/>
      <c r="FB35" s="317"/>
      <c r="FC35" s="317"/>
      <c r="FD35" s="317"/>
      <c r="FE35" s="317"/>
      <c r="FF35" s="317"/>
      <c r="FG35" s="317"/>
      <c r="FH35" s="317"/>
      <c r="FI35" s="317"/>
      <c r="FJ35" s="317"/>
      <c r="FK35" s="317"/>
      <c r="FL35" s="317"/>
      <c r="FM35" s="317"/>
      <c r="FN35" s="317"/>
      <c r="FO35" s="317"/>
      <c r="FP35" s="317"/>
      <c r="FQ35" s="317"/>
      <c r="FR35" s="317"/>
      <c r="FS35" s="317"/>
      <c r="FT35" s="317"/>
      <c r="FU35" s="317"/>
      <c r="FV35" s="317"/>
      <c r="FW35" s="317"/>
      <c r="FX35" s="317"/>
      <c r="FY35" s="317"/>
      <c r="FZ35" s="317"/>
      <c r="GA35" s="317"/>
      <c r="GB35" s="317"/>
      <c r="GC35" s="317"/>
      <c r="GD35" s="317"/>
      <c r="GE35" s="317"/>
      <c r="GF35" s="317"/>
      <c r="GG35" s="317"/>
      <c r="GH35" s="317"/>
      <c r="GI35" s="317"/>
      <c r="GJ35" s="317"/>
      <c r="GK35" s="317"/>
      <c r="GL35" s="317"/>
      <c r="GM35" s="317"/>
      <c r="GN35" s="317"/>
      <c r="GO35" s="317"/>
      <c r="GP35" s="317"/>
      <c r="GQ35" s="317"/>
      <c r="GR35" s="317"/>
      <c r="GS35" s="317"/>
      <c r="GT35" s="317"/>
      <c r="GU35" s="317"/>
      <c r="GV35" s="317"/>
      <c r="GW35" s="317"/>
      <c r="GX35" s="317"/>
      <c r="GY35" s="317"/>
      <c r="GZ35" s="317"/>
      <c r="HA35" s="317"/>
      <c r="HB35" s="317"/>
      <c r="HC35" s="317"/>
      <c r="HD35" s="317"/>
      <c r="HE35" s="317"/>
      <c r="HF35" s="317"/>
      <c r="HG35" s="317"/>
      <c r="HH35" s="317"/>
      <c r="HI35" s="317"/>
      <c r="HJ35" s="317"/>
    </row>
    <row r="36" ht="15.0" customHeight="1">
      <c r="A36" s="166"/>
      <c r="B36" s="13"/>
      <c r="C36" s="213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  <c r="AO36" s="337"/>
      <c r="AP36" s="337"/>
      <c r="AQ36" s="337"/>
      <c r="AR36" s="337"/>
      <c r="AS36" s="338"/>
      <c r="AT36" s="338"/>
      <c r="AU36" s="338"/>
      <c r="AV36" s="338"/>
      <c r="AW36" s="338"/>
      <c r="AX36" s="338"/>
      <c r="AY36" s="338"/>
      <c r="AZ36" s="338"/>
      <c r="BA36" s="338"/>
      <c r="BB36" s="338"/>
      <c r="BC36" s="338"/>
      <c r="BD36" s="338"/>
      <c r="BE36" s="338"/>
      <c r="BF36" s="338"/>
      <c r="BG36" s="338"/>
      <c r="BH36" s="338"/>
      <c r="BI36" s="338"/>
      <c r="BJ36" s="338"/>
      <c r="BK36" s="338"/>
      <c r="BL36" s="338"/>
      <c r="BM36" s="338"/>
      <c r="BN36" s="338"/>
      <c r="BO36" s="338"/>
      <c r="BP36" s="338"/>
      <c r="BQ36" s="338"/>
      <c r="BR36" s="338"/>
      <c r="BS36" s="338"/>
      <c r="BT36" s="338"/>
      <c r="BU36" s="338"/>
      <c r="BV36" s="338"/>
      <c r="BW36" s="338"/>
      <c r="BX36" s="338"/>
      <c r="BY36" s="338"/>
      <c r="BZ36" s="338"/>
      <c r="CA36" s="338"/>
      <c r="CB36" s="338"/>
      <c r="CC36" s="338"/>
      <c r="CD36" s="338"/>
      <c r="CE36" s="338"/>
      <c r="CF36" s="338"/>
      <c r="CG36" s="338"/>
      <c r="CH36" s="338"/>
      <c r="CI36" s="338"/>
      <c r="CJ36" s="338"/>
      <c r="CK36" s="338"/>
      <c r="CL36" s="338"/>
      <c r="CM36" s="338"/>
      <c r="CN36" s="338"/>
      <c r="CO36" s="338"/>
      <c r="CP36" s="338"/>
      <c r="CQ36" s="338"/>
      <c r="CR36" s="337"/>
      <c r="CS36" s="337"/>
      <c r="CT36" s="337"/>
      <c r="CU36" s="337"/>
      <c r="CV36" s="337"/>
      <c r="CW36" s="337"/>
      <c r="CX36" s="337"/>
      <c r="CY36" s="337"/>
      <c r="CZ36" s="337"/>
      <c r="DA36" s="337"/>
      <c r="DB36" s="337"/>
      <c r="DC36" s="337"/>
      <c r="DD36" s="337"/>
      <c r="DE36" s="337"/>
      <c r="DF36" s="337"/>
      <c r="DG36" s="337"/>
      <c r="DH36" s="337"/>
      <c r="DI36" s="337"/>
      <c r="DJ36" s="337"/>
      <c r="DK36" s="338"/>
      <c r="DL36" s="338"/>
      <c r="DM36" s="338"/>
      <c r="DN36" s="337"/>
      <c r="DO36" s="337"/>
      <c r="DP36" s="337"/>
      <c r="DQ36" s="337"/>
      <c r="DR36" s="337"/>
      <c r="DS36" s="337"/>
      <c r="DT36" s="337"/>
      <c r="DU36" s="337"/>
      <c r="DV36" s="337"/>
      <c r="DW36" s="337"/>
      <c r="DX36" s="337"/>
      <c r="DY36" s="337"/>
      <c r="DZ36" s="338"/>
      <c r="EA36" s="338"/>
      <c r="EB36" s="338"/>
      <c r="EC36" s="338"/>
      <c r="ED36" s="338"/>
      <c r="EE36" s="338"/>
      <c r="EF36" s="338"/>
      <c r="EG36" s="338"/>
      <c r="EH36" s="338"/>
      <c r="EI36" s="338"/>
      <c r="EJ36" s="338"/>
      <c r="EK36" s="338"/>
      <c r="EL36" s="338"/>
      <c r="EM36" s="338"/>
      <c r="EN36" s="338"/>
      <c r="EO36" s="338"/>
      <c r="EP36" s="338"/>
      <c r="EQ36" s="338"/>
      <c r="ER36" s="338"/>
      <c r="ES36" s="338"/>
      <c r="ET36" s="338"/>
      <c r="EU36" s="338"/>
      <c r="EV36" s="338"/>
      <c r="EW36" s="338"/>
      <c r="EX36" s="338"/>
      <c r="EY36" s="338"/>
      <c r="EZ36" s="338"/>
      <c r="FA36" s="338"/>
      <c r="FB36" s="338"/>
      <c r="FC36" s="338"/>
      <c r="FD36" s="338"/>
      <c r="FE36" s="338"/>
      <c r="FF36" s="338"/>
      <c r="FG36" s="338"/>
      <c r="FH36" s="338"/>
      <c r="FI36" s="338"/>
      <c r="FJ36" s="338"/>
      <c r="FK36" s="338"/>
      <c r="FL36" s="338"/>
      <c r="FM36" s="338"/>
      <c r="FN36" s="338"/>
      <c r="FO36" s="338"/>
      <c r="FP36" s="338"/>
      <c r="FQ36" s="338"/>
      <c r="FR36" s="338"/>
      <c r="FS36" s="338"/>
      <c r="FT36" s="338"/>
      <c r="FU36" s="338"/>
      <c r="FV36" s="338"/>
      <c r="FW36" s="338"/>
      <c r="FX36" s="338"/>
      <c r="FY36" s="338"/>
      <c r="FZ36" s="338"/>
      <c r="GA36" s="338"/>
      <c r="GB36" s="338"/>
      <c r="GC36" s="338"/>
      <c r="GD36" s="338"/>
      <c r="GE36" s="338"/>
      <c r="GF36" s="338"/>
      <c r="GG36" s="338"/>
      <c r="GH36" s="338"/>
      <c r="GI36" s="338"/>
      <c r="GJ36" s="338"/>
      <c r="GK36" s="338"/>
      <c r="GL36" s="338"/>
      <c r="GM36" s="338"/>
      <c r="GN36" s="338"/>
      <c r="GO36" s="338"/>
      <c r="GP36" s="338"/>
      <c r="GQ36" s="338"/>
      <c r="GR36" s="338"/>
      <c r="GS36" s="338"/>
      <c r="GT36" s="338"/>
      <c r="GU36" s="338"/>
      <c r="GV36" s="338"/>
      <c r="GW36" s="338"/>
      <c r="GX36" s="338"/>
      <c r="GY36" s="338"/>
      <c r="GZ36" s="338"/>
      <c r="HA36" s="338"/>
      <c r="HB36" s="338"/>
      <c r="HC36" s="338"/>
      <c r="HD36" s="338"/>
      <c r="HE36" s="338"/>
      <c r="HF36" s="338"/>
      <c r="HG36" s="338"/>
      <c r="HH36" s="338"/>
      <c r="HI36" s="338"/>
      <c r="HJ36" s="338"/>
    </row>
  </sheetData>
  <mergeCells count="932">
    <mergeCell ref="W4:W7"/>
    <mergeCell ref="X4:X7"/>
    <mergeCell ref="Y4:Y7"/>
    <mergeCell ref="Z4:Z7"/>
    <mergeCell ref="AA4:AA7"/>
    <mergeCell ref="AB4:AB7"/>
    <mergeCell ref="AC4:AC7"/>
    <mergeCell ref="AD4:AD7"/>
    <mergeCell ref="AE4:AE7"/>
    <mergeCell ref="AF4:AF7"/>
    <mergeCell ref="AG4:AG7"/>
    <mergeCell ref="AH4:AH7"/>
    <mergeCell ref="AI4:AI7"/>
    <mergeCell ref="AJ4:AJ7"/>
    <mergeCell ref="U4:U7"/>
    <mergeCell ref="V4:V7"/>
    <mergeCell ref="AK4:AK7"/>
    <mergeCell ref="AL4:AL7"/>
    <mergeCell ref="AM4:AM7"/>
    <mergeCell ref="AN4:AN7"/>
    <mergeCell ref="AO4:AO7"/>
    <mergeCell ref="AT6:AW6"/>
    <mergeCell ref="AX6:AZ6"/>
    <mergeCell ref="BA6:BC6"/>
    <mergeCell ref="BD6:BF6"/>
    <mergeCell ref="AP4:AP7"/>
    <mergeCell ref="AQ4:AQ7"/>
    <mergeCell ref="AR4:AR7"/>
    <mergeCell ref="AT4:AW5"/>
    <mergeCell ref="AX4:AZ5"/>
    <mergeCell ref="BA4:BC5"/>
    <mergeCell ref="BD4:BF5"/>
    <mergeCell ref="BM4:BO5"/>
    <mergeCell ref="BP4:BR5"/>
    <mergeCell ref="BS4:BU5"/>
    <mergeCell ref="BV4:BX5"/>
    <mergeCell ref="BY4:CA5"/>
    <mergeCell ref="CB4:CD5"/>
    <mergeCell ref="CE4:CG5"/>
    <mergeCell ref="CH4:CJ5"/>
    <mergeCell ref="CK4:CM5"/>
    <mergeCell ref="CN4:CP5"/>
    <mergeCell ref="CR4:CT4"/>
    <mergeCell ref="CU4:DG4"/>
    <mergeCell ref="DH4:DJ4"/>
    <mergeCell ref="DK4:DM4"/>
    <mergeCell ref="GB4:GB7"/>
    <mergeCell ref="GC4:GC7"/>
    <mergeCell ref="GD4:GD7"/>
    <mergeCell ref="GE4:GE7"/>
    <mergeCell ref="GF4:GF7"/>
    <mergeCell ref="GG4:GG7"/>
    <mergeCell ref="GH4:GH7"/>
    <mergeCell ref="GI4:GI7"/>
    <mergeCell ref="GJ4:GJ7"/>
    <mergeCell ref="GK4:GK7"/>
    <mergeCell ref="GL4:GL7"/>
    <mergeCell ref="GM4:GM7"/>
    <mergeCell ref="GN4:GN7"/>
    <mergeCell ref="GO4:GO7"/>
    <mergeCell ref="FN21:HI21"/>
    <mergeCell ref="HD4:HD7"/>
    <mergeCell ref="HE4:HE7"/>
    <mergeCell ref="GW4:GW7"/>
    <mergeCell ref="GX4:GX7"/>
    <mergeCell ref="GY4:GY7"/>
    <mergeCell ref="GZ4:GZ7"/>
    <mergeCell ref="HA4:HA7"/>
    <mergeCell ref="HB4:HB7"/>
    <mergeCell ref="HC4:HC7"/>
    <mergeCell ref="GP4:GP7"/>
    <mergeCell ref="GQ4:GQ7"/>
    <mergeCell ref="HF4:HF7"/>
    <mergeCell ref="HG4:HI7"/>
    <mergeCell ref="ET5:FI5"/>
    <mergeCell ref="FJ5:FL5"/>
    <mergeCell ref="ET8:FI8"/>
    <mergeCell ref="FJ8:FL8"/>
    <mergeCell ref="FN8:FY8"/>
    <mergeCell ref="FZ8:GA8"/>
    <mergeCell ref="FJ9:FL9"/>
    <mergeCell ref="FN9:FY9"/>
    <mergeCell ref="HG8:HI8"/>
    <mergeCell ref="HG9:HI9"/>
    <mergeCell ref="CR14:CT14"/>
    <mergeCell ref="CU14:DG14"/>
    <mergeCell ref="DH14:DJ14"/>
    <mergeCell ref="DK14:DM14"/>
    <mergeCell ref="DN14:DP14"/>
    <mergeCell ref="DQ14:DS14"/>
    <mergeCell ref="DT14:DV14"/>
    <mergeCell ref="DW14:DY14"/>
    <mergeCell ref="HG11:HI11"/>
    <mergeCell ref="ET12:FI12"/>
    <mergeCell ref="FJ12:FL12"/>
    <mergeCell ref="FN12:FY12"/>
    <mergeCell ref="FZ12:GA12"/>
    <mergeCell ref="HG12:HI12"/>
    <mergeCell ref="EA13:EN13"/>
    <mergeCell ref="FJ4:FL4"/>
    <mergeCell ref="FH14:FI14"/>
    <mergeCell ref="FJ14:FL14"/>
    <mergeCell ref="HE14:HF14"/>
    <mergeCell ref="HG14:HI14"/>
    <mergeCell ref="ES3:ES12"/>
    <mergeCell ref="FM3:FM13"/>
    <mergeCell ref="HJ3:HJ14"/>
    <mergeCell ref="FN4:FY7"/>
    <mergeCell ref="FZ4:GA7"/>
    <mergeCell ref="HG10:HI10"/>
    <mergeCell ref="HG13:HI13"/>
    <mergeCell ref="ET4:FI4"/>
    <mergeCell ref="ET9:FI9"/>
    <mergeCell ref="ET10:FI10"/>
    <mergeCell ref="FJ10:FL10"/>
    <mergeCell ref="FN10:FY10"/>
    <mergeCell ref="FZ10:GA10"/>
    <mergeCell ref="FZ9:GA9"/>
    <mergeCell ref="ET11:FI11"/>
    <mergeCell ref="FJ11:FL11"/>
    <mergeCell ref="FN11:FY11"/>
    <mergeCell ref="FZ11:GA11"/>
    <mergeCell ref="EO13:EP13"/>
    <mergeCell ref="EQ13:ER13"/>
    <mergeCell ref="ET13:FI13"/>
    <mergeCell ref="FJ13:FL13"/>
    <mergeCell ref="FN13:FY13"/>
    <mergeCell ref="FZ13:GA13"/>
    <mergeCell ref="BA22:BC23"/>
    <mergeCell ref="BD22:BF23"/>
    <mergeCell ref="BG22:BI23"/>
    <mergeCell ref="BJ22:BL23"/>
    <mergeCell ref="BM22:BO23"/>
    <mergeCell ref="BP22:BR23"/>
    <mergeCell ref="BS22:BU23"/>
    <mergeCell ref="BV22:BX23"/>
    <mergeCell ref="BY22:CA23"/>
    <mergeCell ref="CB22:CD23"/>
    <mergeCell ref="CE22:CG23"/>
    <mergeCell ref="CH22:CJ23"/>
    <mergeCell ref="CK22:CM23"/>
    <mergeCell ref="CN22:CP23"/>
    <mergeCell ref="EQ22:ER22"/>
    <mergeCell ref="ET22:FI22"/>
    <mergeCell ref="EQ23:ER23"/>
    <mergeCell ref="ET23:FI23"/>
    <mergeCell ref="FJ23:FL23"/>
    <mergeCell ref="FZ22:GA25"/>
    <mergeCell ref="GB22:GB25"/>
    <mergeCell ref="FN26:FY26"/>
    <mergeCell ref="FZ26:GA26"/>
    <mergeCell ref="GC22:GC25"/>
    <mergeCell ref="GD22:GD25"/>
    <mergeCell ref="GE22:GE25"/>
    <mergeCell ref="GF22:GF25"/>
    <mergeCell ref="GG22:GG25"/>
    <mergeCell ref="GH22:GH25"/>
    <mergeCell ref="GI22:GI25"/>
    <mergeCell ref="GJ22:GJ25"/>
    <mergeCell ref="GK22:GK25"/>
    <mergeCell ref="GL22:GL25"/>
    <mergeCell ref="GM22:GM25"/>
    <mergeCell ref="GN22:GN25"/>
    <mergeCell ref="GO22:GO25"/>
    <mergeCell ref="GP22:GP25"/>
    <mergeCell ref="GQ22:GQ25"/>
    <mergeCell ref="GR22:GR25"/>
    <mergeCell ref="GS22:GS25"/>
    <mergeCell ref="GT22:GT25"/>
    <mergeCell ref="GU22:GU25"/>
    <mergeCell ref="GV22:GV25"/>
    <mergeCell ref="GW22:GW25"/>
    <mergeCell ref="GX22:GX25"/>
    <mergeCell ref="GY22:GY25"/>
    <mergeCell ref="GZ22:GZ25"/>
    <mergeCell ref="HG26:HI26"/>
    <mergeCell ref="DW23:DY23"/>
    <mergeCell ref="EA23:EN23"/>
    <mergeCell ref="CR23:CT23"/>
    <mergeCell ref="CU23:DG23"/>
    <mergeCell ref="DH23:DJ23"/>
    <mergeCell ref="DK23:DM23"/>
    <mergeCell ref="DN23:DP23"/>
    <mergeCell ref="DQ23:DS23"/>
    <mergeCell ref="DT23:DV23"/>
    <mergeCell ref="CK24:CM24"/>
    <mergeCell ref="CN24:CP24"/>
    <mergeCell ref="BP24:BR24"/>
    <mergeCell ref="BS24:BU24"/>
    <mergeCell ref="BV24:BX24"/>
    <mergeCell ref="BY24:CA24"/>
    <mergeCell ref="CB24:CD24"/>
    <mergeCell ref="CE24:CG24"/>
    <mergeCell ref="CH24:CJ24"/>
    <mergeCell ref="BJ26:BL26"/>
    <mergeCell ref="BM26:BO26"/>
    <mergeCell ref="BP26:BR26"/>
    <mergeCell ref="BS26:BU26"/>
    <mergeCell ref="BV26:BX26"/>
    <mergeCell ref="BY26:CA26"/>
    <mergeCell ref="CB26:CD26"/>
    <mergeCell ref="DK26:DM26"/>
    <mergeCell ref="DN26:DP26"/>
    <mergeCell ref="DQ26:DS26"/>
    <mergeCell ref="DT26:DV26"/>
    <mergeCell ref="CE26:CG26"/>
    <mergeCell ref="CH26:CJ26"/>
    <mergeCell ref="CK26:CM26"/>
    <mergeCell ref="CN26:CP26"/>
    <mergeCell ref="CR26:CT26"/>
    <mergeCell ref="CU26:DG26"/>
    <mergeCell ref="DH26:DJ26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T26:AV26"/>
    <mergeCell ref="AX26:AZ26"/>
    <mergeCell ref="BA26:BC26"/>
    <mergeCell ref="BD26:BF26"/>
    <mergeCell ref="BG26:BI26"/>
    <mergeCell ref="S22:S25"/>
    <mergeCell ref="T22:T25"/>
    <mergeCell ref="AI22:AI25"/>
    <mergeCell ref="AJ22:AJ25"/>
    <mergeCell ref="AK22:AK25"/>
    <mergeCell ref="AL22:AL25"/>
    <mergeCell ref="AM22:AM25"/>
    <mergeCell ref="AT24:AW24"/>
    <mergeCell ref="AX24:AZ24"/>
    <mergeCell ref="AN22:AN25"/>
    <mergeCell ref="AO22:AO25"/>
    <mergeCell ref="AP22:AP25"/>
    <mergeCell ref="AQ22:AQ25"/>
    <mergeCell ref="AR22:AR25"/>
    <mergeCell ref="AT22:AW23"/>
    <mergeCell ref="AX22:AZ23"/>
    <mergeCell ref="EA24:EN24"/>
    <mergeCell ref="EA25:EN25"/>
    <mergeCell ref="ET25:FI25"/>
    <mergeCell ref="FJ25:FL25"/>
    <mergeCell ref="EA22:EN22"/>
    <mergeCell ref="EO22:EP22"/>
    <mergeCell ref="EO24:EP24"/>
    <mergeCell ref="EQ24:ER24"/>
    <mergeCell ref="ET24:FI24"/>
    <mergeCell ref="FJ24:FL24"/>
    <mergeCell ref="DW25:DY25"/>
    <mergeCell ref="DW17:DY17"/>
    <mergeCell ref="D21:AR21"/>
    <mergeCell ref="AT21:CP21"/>
    <mergeCell ref="CR21:DY21"/>
    <mergeCell ref="EA21:ER21"/>
    <mergeCell ref="ET21:FL21"/>
    <mergeCell ref="D3:AR3"/>
    <mergeCell ref="AS3:AS17"/>
    <mergeCell ref="AT3:CP3"/>
    <mergeCell ref="DZ3:DZ12"/>
    <mergeCell ref="DW8:DY8"/>
    <mergeCell ref="DW9:DY9"/>
    <mergeCell ref="DW13:DY13"/>
    <mergeCell ref="M22:M25"/>
    <mergeCell ref="N22:N25"/>
    <mergeCell ref="O22:O25"/>
    <mergeCell ref="P22:P25"/>
    <mergeCell ref="CR22:CT22"/>
    <mergeCell ref="CU22:DG22"/>
    <mergeCell ref="DH22:DJ22"/>
    <mergeCell ref="DK22:DM22"/>
    <mergeCell ref="DN22:DP22"/>
    <mergeCell ref="DQ22:DS22"/>
    <mergeCell ref="DT22:DV22"/>
    <mergeCell ref="Q22:Q25"/>
    <mergeCell ref="R22:R25"/>
    <mergeCell ref="BA24:BC24"/>
    <mergeCell ref="BD24:BF24"/>
    <mergeCell ref="BG24:BI24"/>
    <mergeCell ref="BJ24:BL24"/>
    <mergeCell ref="BM24:BO24"/>
    <mergeCell ref="EO25:EP25"/>
    <mergeCell ref="EQ25:ER25"/>
    <mergeCell ref="CH8:CJ8"/>
    <mergeCell ref="CK8:CM8"/>
    <mergeCell ref="CN8:CP8"/>
    <mergeCell ref="CR8:CT8"/>
    <mergeCell ref="CR9:CT9"/>
    <mergeCell ref="CU8:DG8"/>
    <mergeCell ref="DH8:DJ8"/>
    <mergeCell ref="CU9:DG9"/>
    <mergeCell ref="DH9:DJ9"/>
    <mergeCell ref="DK8:DM8"/>
    <mergeCell ref="DN8:DP8"/>
    <mergeCell ref="DK9:DM9"/>
    <mergeCell ref="DN9:DP9"/>
    <mergeCell ref="DQ8:DS8"/>
    <mergeCell ref="DT8:DV8"/>
    <mergeCell ref="DQ9:DS9"/>
    <mergeCell ref="DT9:DV9"/>
    <mergeCell ref="A2:B2"/>
    <mergeCell ref="D9:M9"/>
    <mergeCell ref="AT9:AW9"/>
    <mergeCell ref="AX9:AZ9"/>
    <mergeCell ref="BA9:BC9"/>
    <mergeCell ref="BD9:BF9"/>
    <mergeCell ref="BG9:BI9"/>
    <mergeCell ref="BJ9:BL9"/>
    <mergeCell ref="BM9:BO9"/>
    <mergeCell ref="BP9:BR9"/>
    <mergeCell ref="BS9:BU9"/>
    <mergeCell ref="BV9:BX9"/>
    <mergeCell ref="BY9:CA9"/>
    <mergeCell ref="CB9:CD9"/>
    <mergeCell ref="CE9:CG9"/>
    <mergeCell ref="CH9:CJ9"/>
    <mergeCell ref="CK9:CM9"/>
    <mergeCell ref="CN9:CP9"/>
    <mergeCell ref="A3:B3"/>
    <mergeCell ref="D4:L7"/>
    <mergeCell ref="AT10:AV10"/>
    <mergeCell ref="AX10:AZ10"/>
    <mergeCell ref="BA10:BC10"/>
    <mergeCell ref="BD10:BF10"/>
    <mergeCell ref="BG10:BI10"/>
    <mergeCell ref="BJ10:BL10"/>
    <mergeCell ref="BM10:BO10"/>
    <mergeCell ref="BP10:BR10"/>
    <mergeCell ref="BS10:BU10"/>
    <mergeCell ref="BV10:BX10"/>
    <mergeCell ref="BY10:CA10"/>
    <mergeCell ref="CB10:CD10"/>
    <mergeCell ref="CE10:CG10"/>
    <mergeCell ref="CH10:CJ10"/>
    <mergeCell ref="CK10:CM10"/>
    <mergeCell ref="CN10:CP10"/>
    <mergeCell ref="CR11:CT11"/>
    <mergeCell ref="CR10:CT10"/>
    <mergeCell ref="CU10:DG10"/>
    <mergeCell ref="CU11:DG11"/>
    <mergeCell ref="DH10:DJ10"/>
    <mergeCell ref="DK10:DM10"/>
    <mergeCell ref="DH11:DJ11"/>
    <mergeCell ref="DK11:DM11"/>
    <mergeCell ref="DN10:DP10"/>
    <mergeCell ref="DQ10:DS10"/>
    <mergeCell ref="DN11:DP11"/>
    <mergeCell ref="DQ11:DS11"/>
    <mergeCell ref="DT10:DV10"/>
    <mergeCell ref="DW10:DY10"/>
    <mergeCell ref="DT11:DV11"/>
    <mergeCell ref="DW11:DY11"/>
    <mergeCell ref="AT11:AW11"/>
    <mergeCell ref="AX11:AZ11"/>
    <mergeCell ref="CR12:CT12"/>
    <mergeCell ref="CU12:DG12"/>
    <mergeCell ref="DH12:DJ12"/>
    <mergeCell ref="DK12:DM12"/>
    <mergeCell ref="DN12:DP12"/>
    <mergeCell ref="DQ12:DS12"/>
    <mergeCell ref="DT12:DV12"/>
    <mergeCell ref="DW12:DY12"/>
    <mergeCell ref="AT13:CP13"/>
    <mergeCell ref="CR13:CT13"/>
    <mergeCell ref="CU13:DG13"/>
    <mergeCell ref="DH13:DJ13"/>
    <mergeCell ref="DK13:DM13"/>
    <mergeCell ref="DN13:DP13"/>
    <mergeCell ref="DQ29:DS29"/>
    <mergeCell ref="DT29:DV29"/>
    <mergeCell ref="AT31:CP31"/>
    <mergeCell ref="CR31:CT31"/>
    <mergeCell ref="CU31:DG31"/>
    <mergeCell ref="DH31:DJ31"/>
    <mergeCell ref="DK31:DM31"/>
    <mergeCell ref="DN31:DP31"/>
    <mergeCell ref="DQ31:DS31"/>
    <mergeCell ref="DT31:DV31"/>
    <mergeCell ref="CK29:CM29"/>
    <mergeCell ref="CN29:CP29"/>
    <mergeCell ref="CR29:CT29"/>
    <mergeCell ref="CU29:DG29"/>
    <mergeCell ref="DH29:DJ29"/>
    <mergeCell ref="DK29:DM29"/>
    <mergeCell ref="DN29:DP29"/>
    <mergeCell ref="DQ25:DS25"/>
    <mergeCell ref="DT25:DV25"/>
    <mergeCell ref="CK25:CM25"/>
    <mergeCell ref="CN25:CP25"/>
    <mergeCell ref="CR25:CT25"/>
    <mergeCell ref="CU25:DG25"/>
    <mergeCell ref="DH25:DJ25"/>
    <mergeCell ref="DK25:DM25"/>
    <mergeCell ref="DN25:DP25"/>
    <mergeCell ref="DK27:DM27"/>
    <mergeCell ref="DN27:DP27"/>
    <mergeCell ref="DQ27:DS27"/>
    <mergeCell ref="DT27:DV27"/>
    <mergeCell ref="DW27:DY27"/>
    <mergeCell ref="CE27:CG27"/>
    <mergeCell ref="CH27:CJ27"/>
    <mergeCell ref="CK27:CM27"/>
    <mergeCell ref="CN27:CP27"/>
    <mergeCell ref="CR27:CT27"/>
    <mergeCell ref="CU27:DG27"/>
    <mergeCell ref="DH27:DJ27"/>
    <mergeCell ref="DK28:DM28"/>
    <mergeCell ref="DN28:DP28"/>
    <mergeCell ref="DQ28:DS28"/>
    <mergeCell ref="DT28:DV28"/>
    <mergeCell ref="DW28:DY28"/>
    <mergeCell ref="CE28:CG28"/>
    <mergeCell ref="CH28:CJ28"/>
    <mergeCell ref="CK28:CM28"/>
    <mergeCell ref="CN28:CP28"/>
    <mergeCell ref="CR28:CT28"/>
    <mergeCell ref="CU28:DG28"/>
    <mergeCell ref="DH28:DJ28"/>
    <mergeCell ref="CR30:CT30"/>
    <mergeCell ref="CU30:DG30"/>
    <mergeCell ref="DH30:DJ30"/>
    <mergeCell ref="DK30:DM30"/>
    <mergeCell ref="DN30:DP30"/>
    <mergeCell ref="DQ30:DS30"/>
    <mergeCell ref="DT30:DV30"/>
    <mergeCell ref="CR5:CT5"/>
    <mergeCell ref="CU5:DG5"/>
    <mergeCell ref="DH5:DJ5"/>
    <mergeCell ref="DK5:DM5"/>
    <mergeCell ref="DN5:DP5"/>
    <mergeCell ref="DQ5:DS5"/>
    <mergeCell ref="DT5:DV5"/>
    <mergeCell ref="DW5:DY5"/>
    <mergeCell ref="BG6:BI6"/>
    <mergeCell ref="BJ6:BL6"/>
    <mergeCell ref="BM6:BO6"/>
    <mergeCell ref="BP6:BR6"/>
    <mergeCell ref="CR6:CT6"/>
    <mergeCell ref="CU6:DG6"/>
    <mergeCell ref="DH6:DJ6"/>
    <mergeCell ref="DK6:DM6"/>
    <mergeCell ref="DN6:DP6"/>
    <mergeCell ref="DQ6:DS6"/>
    <mergeCell ref="DT6:DV6"/>
    <mergeCell ref="DW6:DY6"/>
    <mergeCell ref="BS6:BU6"/>
    <mergeCell ref="BV6:BX6"/>
    <mergeCell ref="CB6:CD6"/>
    <mergeCell ref="CE6:CG6"/>
    <mergeCell ref="CH6:CJ6"/>
    <mergeCell ref="CK6:CM6"/>
    <mergeCell ref="CN6:CP6"/>
    <mergeCell ref="EO5:EP5"/>
    <mergeCell ref="EQ5:ER5"/>
    <mergeCell ref="BG4:BI5"/>
    <mergeCell ref="DN4:DP4"/>
    <mergeCell ref="DQ4:DS4"/>
    <mergeCell ref="DT4:DV4"/>
    <mergeCell ref="DW4:DY4"/>
    <mergeCell ref="EA4:EN4"/>
    <mergeCell ref="EA5:EN5"/>
    <mergeCell ref="EQ6:ER6"/>
    <mergeCell ref="ET6:FI6"/>
    <mergeCell ref="EO4:EP4"/>
    <mergeCell ref="EO7:EP7"/>
    <mergeCell ref="EQ7:ER7"/>
    <mergeCell ref="ET7:FI7"/>
    <mergeCell ref="EQ4:ER4"/>
    <mergeCell ref="GR4:GR7"/>
    <mergeCell ref="GS4:GS7"/>
    <mergeCell ref="GT4:GT7"/>
    <mergeCell ref="GU4:GU7"/>
    <mergeCell ref="GV4:GV7"/>
    <mergeCell ref="FJ6:FL6"/>
    <mergeCell ref="FJ7:FL7"/>
    <mergeCell ref="BP7:BR7"/>
    <mergeCell ref="BS7:BU7"/>
    <mergeCell ref="BV7:BX7"/>
    <mergeCell ref="BY7:CA7"/>
    <mergeCell ref="BJ4:BL5"/>
    <mergeCell ref="BY6:CA6"/>
    <mergeCell ref="AT7:AW7"/>
    <mergeCell ref="AX7:AZ7"/>
    <mergeCell ref="BA7:BC7"/>
    <mergeCell ref="BD7:BF7"/>
    <mergeCell ref="BG7:BI7"/>
    <mergeCell ref="DW7:DY7"/>
    <mergeCell ref="EA7:EN7"/>
    <mergeCell ref="CR7:CT7"/>
    <mergeCell ref="CU7:DG7"/>
    <mergeCell ref="DH7:DJ7"/>
    <mergeCell ref="DK7:DM7"/>
    <mergeCell ref="DN7:DP7"/>
    <mergeCell ref="DQ7:DS7"/>
    <mergeCell ref="DT7:DV7"/>
    <mergeCell ref="CR3:DY3"/>
    <mergeCell ref="EA3:ER3"/>
    <mergeCell ref="ET3:FL3"/>
    <mergeCell ref="FN3:HI3"/>
    <mergeCell ref="M4:M7"/>
    <mergeCell ref="N4:N7"/>
    <mergeCell ref="O4:O7"/>
    <mergeCell ref="P4:P7"/>
    <mergeCell ref="Q4:Q7"/>
    <mergeCell ref="R4:R7"/>
    <mergeCell ref="S4:S7"/>
    <mergeCell ref="T4:T7"/>
    <mergeCell ref="EA6:EN6"/>
    <mergeCell ref="EO6:EP6"/>
    <mergeCell ref="BJ7:BL7"/>
    <mergeCell ref="BM7:BO7"/>
    <mergeCell ref="CB7:CD7"/>
    <mergeCell ref="CE7:CG7"/>
    <mergeCell ref="CH7:CJ7"/>
    <mergeCell ref="CK7:CM7"/>
    <mergeCell ref="CN7:CP7"/>
    <mergeCell ref="EA12:EN12"/>
    <mergeCell ref="EO12:EP12"/>
    <mergeCell ref="EQ12:ER12"/>
    <mergeCell ref="EA9:EN9"/>
    <mergeCell ref="EA10:EN10"/>
    <mergeCell ref="EO10:EP10"/>
    <mergeCell ref="EQ10:ER10"/>
    <mergeCell ref="EA11:EN11"/>
    <mergeCell ref="EO11:EP11"/>
    <mergeCell ref="EQ11:ER11"/>
    <mergeCell ref="D8:M8"/>
    <mergeCell ref="AT8:AV8"/>
    <mergeCell ref="AX8:AZ8"/>
    <mergeCell ref="BA8:BC8"/>
    <mergeCell ref="BD8:BF8"/>
    <mergeCell ref="BG8:BI8"/>
    <mergeCell ref="BJ8:BL8"/>
    <mergeCell ref="BM8:BO8"/>
    <mergeCell ref="BP8:BR8"/>
    <mergeCell ref="BS8:BU8"/>
    <mergeCell ref="BV8:BX8"/>
    <mergeCell ref="BY8:CA8"/>
    <mergeCell ref="CB8:CD8"/>
    <mergeCell ref="CE8:CG8"/>
    <mergeCell ref="EA8:EN8"/>
    <mergeCell ref="EO8:EP8"/>
    <mergeCell ref="EQ8:ER8"/>
    <mergeCell ref="EO9:EP9"/>
    <mergeCell ref="EQ9:ER9"/>
    <mergeCell ref="Y14:Y17"/>
    <mergeCell ref="Z14:Z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AI14:AI17"/>
    <mergeCell ref="AJ14:AJ17"/>
    <mergeCell ref="AK14:AK17"/>
    <mergeCell ref="AL14:AL17"/>
    <mergeCell ref="W14:W17"/>
    <mergeCell ref="X14:X17"/>
    <mergeCell ref="AM14:AM17"/>
    <mergeCell ref="AN14:AN17"/>
    <mergeCell ref="AO14:AO17"/>
    <mergeCell ref="AP14:AP17"/>
    <mergeCell ref="AQ14:AQ17"/>
    <mergeCell ref="AT16:AW16"/>
    <mergeCell ref="AX16:AZ16"/>
    <mergeCell ref="BA16:BC16"/>
    <mergeCell ref="BD16:BF16"/>
    <mergeCell ref="BG16:BI16"/>
    <mergeCell ref="BJ16:BL16"/>
    <mergeCell ref="AT17:AV17"/>
    <mergeCell ref="AX17:AZ17"/>
    <mergeCell ref="BA17:BC17"/>
    <mergeCell ref="BD17:BF17"/>
    <mergeCell ref="BG17:BI17"/>
    <mergeCell ref="BJ17:BL17"/>
    <mergeCell ref="AR14:AR17"/>
    <mergeCell ref="AT14:AW15"/>
    <mergeCell ref="AX14:AZ15"/>
    <mergeCell ref="BA14:BC15"/>
    <mergeCell ref="BD14:BF15"/>
    <mergeCell ref="BG14:BI15"/>
    <mergeCell ref="BJ14:BL15"/>
    <mergeCell ref="BM14:BO15"/>
    <mergeCell ref="BP14:BR15"/>
    <mergeCell ref="BS14:BU15"/>
    <mergeCell ref="BV14:BX15"/>
    <mergeCell ref="BY14:CA15"/>
    <mergeCell ref="CB14:CD15"/>
    <mergeCell ref="CE14:CG15"/>
    <mergeCell ref="CH14:CJ15"/>
    <mergeCell ref="CK14:CM15"/>
    <mergeCell ref="CN14:CP15"/>
    <mergeCell ref="CR15:CT15"/>
    <mergeCell ref="CU15:DG15"/>
    <mergeCell ref="DH15:DJ15"/>
    <mergeCell ref="DK15:DM15"/>
    <mergeCell ref="CE16:CG16"/>
    <mergeCell ref="CH16:CJ16"/>
    <mergeCell ref="CK16:CM16"/>
    <mergeCell ref="CN16:CP16"/>
    <mergeCell ref="CR16:CT16"/>
    <mergeCell ref="CU16:DG16"/>
    <mergeCell ref="DH16:DJ16"/>
    <mergeCell ref="DK16:DM16"/>
    <mergeCell ref="DN16:DP16"/>
    <mergeCell ref="DQ16:DS16"/>
    <mergeCell ref="DN15:DP15"/>
    <mergeCell ref="DQ15:DS15"/>
    <mergeCell ref="DT15:DV15"/>
    <mergeCell ref="BM16:BO16"/>
    <mergeCell ref="BP16:BR16"/>
    <mergeCell ref="BS16:BU16"/>
    <mergeCell ref="BV16:BX16"/>
    <mergeCell ref="DT16:DV16"/>
    <mergeCell ref="DH17:DJ17"/>
    <mergeCell ref="DK17:DM17"/>
    <mergeCell ref="CB17:CD17"/>
    <mergeCell ref="CE17:CG17"/>
    <mergeCell ref="CH17:CJ17"/>
    <mergeCell ref="CK17:CM17"/>
    <mergeCell ref="CN17:CP17"/>
    <mergeCell ref="CR17:CT17"/>
    <mergeCell ref="CU17:DG17"/>
    <mergeCell ref="C3:C17"/>
    <mergeCell ref="D10:M10"/>
    <mergeCell ref="D11:M11"/>
    <mergeCell ref="D12:M12"/>
    <mergeCell ref="D13:M13"/>
    <mergeCell ref="D14:M17"/>
    <mergeCell ref="DQ13:DS13"/>
    <mergeCell ref="DT13:DV13"/>
    <mergeCell ref="DN17:DP17"/>
    <mergeCell ref="DQ17:DS17"/>
    <mergeCell ref="DT17:DV17"/>
    <mergeCell ref="O14:O17"/>
    <mergeCell ref="P14:P17"/>
    <mergeCell ref="Q14:Q17"/>
    <mergeCell ref="R14:R17"/>
    <mergeCell ref="S14:S17"/>
    <mergeCell ref="T14:T17"/>
    <mergeCell ref="U14:U17"/>
    <mergeCell ref="V14:V17"/>
    <mergeCell ref="BY16:CA16"/>
    <mergeCell ref="CB16:CD16"/>
    <mergeCell ref="BM17:BO17"/>
    <mergeCell ref="BP17:BR17"/>
    <mergeCell ref="BS17:BU17"/>
    <mergeCell ref="BV17:BX17"/>
    <mergeCell ref="BY17:CA17"/>
    <mergeCell ref="BG11:BI11"/>
    <mergeCell ref="BJ11:BL11"/>
    <mergeCell ref="BA11:BC11"/>
    <mergeCell ref="BD11:BF11"/>
    <mergeCell ref="BA25:BC25"/>
    <mergeCell ref="BD25:BF25"/>
    <mergeCell ref="BG25:BI25"/>
    <mergeCell ref="BJ25:BL25"/>
    <mergeCell ref="BM25:BO25"/>
    <mergeCell ref="BM11:BO11"/>
    <mergeCell ref="BP11:BR11"/>
    <mergeCell ref="BS11:BU11"/>
    <mergeCell ref="BV11:BX11"/>
    <mergeCell ref="BY11:CA11"/>
    <mergeCell ref="CB11:CD11"/>
    <mergeCell ref="CE11:CG11"/>
    <mergeCell ref="CH11:CJ11"/>
    <mergeCell ref="DQ24:DS24"/>
    <mergeCell ref="DT24:DV24"/>
    <mergeCell ref="DW24:DY24"/>
    <mergeCell ref="CK11:CM11"/>
    <mergeCell ref="CN11:CP11"/>
    <mergeCell ref="CR24:CT24"/>
    <mergeCell ref="CU24:DG24"/>
    <mergeCell ref="DH24:DJ24"/>
    <mergeCell ref="DK24:DM24"/>
    <mergeCell ref="DN24:DP24"/>
    <mergeCell ref="BP25:BR25"/>
    <mergeCell ref="BS25:BU25"/>
    <mergeCell ref="BV25:BX25"/>
    <mergeCell ref="BY25:CA25"/>
    <mergeCell ref="CB25:CD25"/>
    <mergeCell ref="CE25:CG25"/>
    <mergeCell ref="CH25:CJ25"/>
    <mergeCell ref="HA22:HA25"/>
    <mergeCell ref="HB22:HB25"/>
    <mergeCell ref="HC22:HC25"/>
    <mergeCell ref="HD22:HD25"/>
    <mergeCell ref="HE22:HE25"/>
    <mergeCell ref="HF22:HF25"/>
    <mergeCell ref="DW22:DY22"/>
    <mergeCell ref="EO23:EP23"/>
    <mergeCell ref="DW26:DY26"/>
    <mergeCell ref="EA26:EN26"/>
    <mergeCell ref="EO26:EP26"/>
    <mergeCell ref="EQ26:ER26"/>
    <mergeCell ref="ET26:FI26"/>
    <mergeCell ref="FJ26:FL26"/>
    <mergeCell ref="EA27:EN27"/>
    <mergeCell ref="EO27:EP27"/>
    <mergeCell ref="EQ27:ER27"/>
    <mergeCell ref="ET27:FI27"/>
    <mergeCell ref="FJ27:FL27"/>
    <mergeCell ref="FN27:FY27"/>
    <mergeCell ref="HG22:HI25"/>
    <mergeCell ref="HG27:HI27"/>
    <mergeCell ref="EA28:EN28"/>
    <mergeCell ref="EO28:EP28"/>
    <mergeCell ref="EQ28:ER28"/>
    <mergeCell ref="ET28:FI28"/>
    <mergeCell ref="FJ28:FL28"/>
    <mergeCell ref="FN28:FY28"/>
    <mergeCell ref="FZ28:GA28"/>
    <mergeCell ref="HG28:HI28"/>
    <mergeCell ref="DW29:DY29"/>
    <mergeCell ref="EA29:EN29"/>
    <mergeCell ref="EO29:EP29"/>
    <mergeCell ref="EQ29:ER29"/>
    <mergeCell ref="ET29:FI29"/>
    <mergeCell ref="FJ29:FL29"/>
    <mergeCell ref="FN29:FY29"/>
    <mergeCell ref="FZ29:GA29"/>
    <mergeCell ref="DZ21:DZ30"/>
    <mergeCell ref="DW30:DY30"/>
    <mergeCell ref="EA30:EN30"/>
    <mergeCell ref="EO30:EP30"/>
    <mergeCell ref="FJ22:FL22"/>
    <mergeCell ref="FN22:FY25"/>
    <mergeCell ref="FH32:FI32"/>
    <mergeCell ref="FJ32:FL32"/>
    <mergeCell ref="HE32:HF32"/>
    <mergeCell ref="HG32:HI32"/>
    <mergeCell ref="DW15:DY15"/>
    <mergeCell ref="ES21:ES30"/>
    <mergeCell ref="FM21:FM31"/>
    <mergeCell ref="HJ21:HJ32"/>
    <mergeCell ref="FZ27:GA27"/>
    <mergeCell ref="FZ30:GA30"/>
    <mergeCell ref="HG31:HI31"/>
    <mergeCell ref="DT35:DV35"/>
    <mergeCell ref="DW35:DY35"/>
    <mergeCell ref="DW16:DY16"/>
    <mergeCell ref="DT32:DV32"/>
    <mergeCell ref="DW32:DY32"/>
    <mergeCell ref="DT33:DV33"/>
    <mergeCell ref="DW33:DY33"/>
    <mergeCell ref="DT34:DV34"/>
    <mergeCell ref="DW34:DY34"/>
    <mergeCell ref="EQ30:ER30"/>
    <mergeCell ref="ET30:FI30"/>
    <mergeCell ref="FJ30:FL30"/>
    <mergeCell ref="FN30:FY30"/>
    <mergeCell ref="HG29:HI29"/>
    <mergeCell ref="HG30:HI30"/>
    <mergeCell ref="DW31:DY31"/>
    <mergeCell ref="EA31:EN31"/>
    <mergeCell ref="EO31:EP31"/>
    <mergeCell ref="EQ31:ER31"/>
    <mergeCell ref="ET31:FI31"/>
    <mergeCell ref="FJ31:FL31"/>
    <mergeCell ref="FN31:FY31"/>
    <mergeCell ref="FZ31:GA31"/>
    <mergeCell ref="CE29:CG29"/>
    <mergeCell ref="CH29:CJ29"/>
    <mergeCell ref="BJ29:BL29"/>
    <mergeCell ref="BM29:BO29"/>
    <mergeCell ref="BP29:BR29"/>
    <mergeCell ref="BS29:BU29"/>
    <mergeCell ref="BV29:BX29"/>
    <mergeCell ref="BY29:CA29"/>
    <mergeCell ref="CB29:CD29"/>
    <mergeCell ref="D26:M26"/>
    <mergeCell ref="D27:M27"/>
    <mergeCell ref="BJ27:BL27"/>
    <mergeCell ref="BM27:BO27"/>
    <mergeCell ref="BP27:BR27"/>
    <mergeCell ref="BS27:BU27"/>
    <mergeCell ref="BV27:BX27"/>
    <mergeCell ref="BY27:CA27"/>
    <mergeCell ref="CB27:CD27"/>
    <mergeCell ref="AT25:AW25"/>
    <mergeCell ref="AX25:AZ25"/>
    <mergeCell ref="AT27:AW27"/>
    <mergeCell ref="BA27:BC27"/>
    <mergeCell ref="BD27:BF27"/>
    <mergeCell ref="BG27:BI27"/>
    <mergeCell ref="AT28:AV28"/>
    <mergeCell ref="BG28:BI28"/>
    <mergeCell ref="BY28:CA28"/>
    <mergeCell ref="CB28:CD28"/>
    <mergeCell ref="BA28:BC28"/>
    <mergeCell ref="BD28:BF28"/>
    <mergeCell ref="BJ28:BL28"/>
    <mergeCell ref="BM28:BO28"/>
    <mergeCell ref="BP28:BR28"/>
    <mergeCell ref="BS28:BU28"/>
    <mergeCell ref="BV28:BX28"/>
    <mergeCell ref="D28:M28"/>
    <mergeCell ref="D29:M29"/>
    <mergeCell ref="AX27:AZ27"/>
    <mergeCell ref="AX28:AZ28"/>
    <mergeCell ref="AT29:AW29"/>
    <mergeCell ref="AX29:AZ29"/>
    <mergeCell ref="BA29:BC29"/>
    <mergeCell ref="BD29:BF29"/>
    <mergeCell ref="BG29:BI29"/>
    <mergeCell ref="D30:M30"/>
    <mergeCell ref="D31:M31"/>
    <mergeCell ref="D32:M35"/>
    <mergeCell ref="N32:N35"/>
    <mergeCell ref="A36:B36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A21:B21"/>
    <mergeCell ref="D22:L25"/>
    <mergeCell ref="AM32:AM35"/>
    <mergeCell ref="AN32:AN35"/>
    <mergeCell ref="AO32:AO35"/>
    <mergeCell ref="AP32:AP35"/>
    <mergeCell ref="AQ32:AQ35"/>
    <mergeCell ref="AR32:AR35"/>
    <mergeCell ref="A4:B17"/>
    <mergeCell ref="N14:N17"/>
    <mergeCell ref="A18:B18"/>
    <mergeCell ref="A20:B20"/>
    <mergeCell ref="C21:C35"/>
    <mergeCell ref="AS21:AS35"/>
    <mergeCell ref="A22:B35"/>
    <mergeCell ref="BJ32:BL33"/>
    <mergeCell ref="BM32:BO33"/>
    <mergeCell ref="BP32:BR33"/>
    <mergeCell ref="BS32:BU33"/>
    <mergeCell ref="BV32:BX33"/>
    <mergeCell ref="BY32:CA33"/>
    <mergeCell ref="CB32:CD33"/>
    <mergeCell ref="DK32:DM32"/>
    <mergeCell ref="DN32:DP32"/>
    <mergeCell ref="DQ32:DS32"/>
    <mergeCell ref="CR33:CT33"/>
    <mergeCell ref="CU33:DG33"/>
    <mergeCell ref="DH33:DJ33"/>
    <mergeCell ref="DK33:DM33"/>
    <mergeCell ref="DN33:DP33"/>
    <mergeCell ref="DQ33:DS33"/>
    <mergeCell ref="CE32:CG33"/>
    <mergeCell ref="CH32:CJ33"/>
    <mergeCell ref="CK32:CM33"/>
    <mergeCell ref="CN32:CP33"/>
    <mergeCell ref="CR32:CT32"/>
    <mergeCell ref="CU32:DG32"/>
    <mergeCell ref="DH32:DJ32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BA34:BC34"/>
    <mergeCell ref="BD34:BF34"/>
    <mergeCell ref="CU35:DG35"/>
    <mergeCell ref="DH35:DJ35"/>
    <mergeCell ref="BY35:CA35"/>
    <mergeCell ref="CB35:CD35"/>
    <mergeCell ref="CE35:CG35"/>
    <mergeCell ref="CH35:CJ35"/>
    <mergeCell ref="CK35:CM35"/>
    <mergeCell ref="CN35:CP35"/>
    <mergeCell ref="CR35:CT35"/>
    <mergeCell ref="AT34:AW34"/>
    <mergeCell ref="AX34:AZ34"/>
    <mergeCell ref="BG34:BI34"/>
    <mergeCell ref="BJ34:BL34"/>
    <mergeCell ref="BM34:BO34"/>
    <mergeCell ref="BP34:BR34"/>
    <mergeCell ref="BS34:BU34"/>
    <mergeCell ref="BV34:BX34"/>
    <mergeCell ref="BY34:CA34"/>
    <mergeCell ref="DH34:DJ34"/>
    <mergeCell ref="DK34:DM34"/>
    <mergeCell ref="DN34:DP34"/>
    <mergeCell ref="DQ34:DS34"/>
    <mergeCell ref="DK35:DM35"/>
    <mergeCell ref="DN35:DP35"/>
    <mergeCell ref="DQ35:DS35"/>
    <mergeCell ref="CB34:CD34"/>
    <mergeCell ref="CE34:CG34"/>
    <mergeCell ref="CH34:CJ34"/>
    <mergeCell ref="CK34:CM34"/>
    <mergeCell ref="CN34:CP34"/>
    <mergeCell ref="CR34:CT34"/>
    <mergeCell ref="CU34:DG34"/>
    <mergeCell ref="AT35:AV35"/>
    <mergeCell ref="AX35:AZ35"/>
    <mergeCell ref="AK32:AK35"/>
    <mergeCell ref="AL32:AL35"/>
    <mergeCell ref="AT32:AW33"/>
    <mergeCell ref="AX32:AZ33"/>
    <mergeCell ref="BA32:BC33"/>
    <mergeCell ref="BD32:BF33"/>
    <mergeCell ref="BG32:BI33"/>
    <mergeCell ref="BG35:BI35"/>
    <mergeCell ref="BA35:BC35"/>
    <mergeCell ref="BD35:BF35"/>
    <mergeCell ref="BJ35:BL35"/>
    <mergeCell ref="BM35:BO35"/>
    <mergeCell ref="BP35:BR35"/>
    <mergeCell ref="BS35:BU35"/>
    <mergeCell ref="BV35:BX3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214" width="2.63"/>
  </cols>
  <sheetData>
    <row r="1" ht="15.0" customHeight="1">
      <c r="A1" s="341"/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  <c r="CL1" s="342"/>
      <c r="CM1" s="343"/>
      <c r="CN1" s="343"/>
      <c r="CO1" s="343"/>
      <c r="CP1" s="343"/>
      <c r="CQ1" s="342"/>
      <c r="CR1" s="342"/>
      <c r="CS1" s="342"/>
      <c r="CT1" s="342"/>
      <c r="CU1" s="342"/>
      <c r="CV1" s="342"/>
      <c r="CW1" s="342"/>
      <c r="CX1" s="342"/>
      <c r="CY1" s="342"/>
      <c r="CZ1" s="342"/>
      <c r="DA1" s="342"/>
      <c r="DB1" s="342"/>
      <c r="DC1" s="342"/>
      <c r="DD1" s="342"/>
      <c r="DE1" s="342"/>
      <c r="DF1" s="342"/>
      <c r="DG1" s="342"/>
      <c r="DH1" s="342"/>
      <c r="DI1" s="342"/>
      <c r="DJ1" s="342"/>
      <c r="DK1" s="342"/>
      <c r="DL1" s="342"/>
      <c r="DM1" s="342"/>
      <c r="DN1" s="342"/>
      <c r="DO1" s="342"/>
      <c r="DP1" s="342"/>
      <c r="DQ1" s="342"/>
      <c r="DR1" s="342"/>
      <c r="DS1" s="342"/>
      <c r="DT1" s="342"/>
      <c r="DU1" s="342"/>
      <c r="DV1" s="342"/>
      <c r="DW1" s="342"/>
      <c r="DX1" s="342"/>
      <c r="DY1" s="342"/>
      <c r="DZ1" s="342"/>
      <c r="EA1" s="342"/>
      <c r="EB1" s="342"/>
      <c r="EC1" s="342"/>
      <c r="ED1" s="342"/>
      <c r="EE1" s="342"/>
      <c r="EF1" s="342"/>
      <c r="EG1" s="342"/>
      <c r="EH1" s="342"/>
      <c r="EI1" s="342"/>
      <c r="EJ1" s="342"/>
      <c r="EK1" s="342"/>
      <c r="EL1" s="342"/>
      <c r="EM1" s="342"/>
      <c r="EN1" s="342"/>
      <c r="EO1" s="342"/>
      <c r="EP1" s="342"/>
      <c r="EQ1" s="342"/>
      <c r="ER1" s="342"/>
      <c r="ES1" s="342"/>
      <c r="ET1" s="342"/>
      <c r="EU1" s="342"/>
      <c r="EV1" s="342"/>
      <c r="EW1" s="342"/>
      <c r="EX1" s="342"/>
      <c r="EY1" s="342"/>
      <c r="EZ1" s="342"/>
      <c r="FA1" s="342"/>
      <c r="FB1" s="342"/>
      <c r="FC1" s="342"/>
      <c r="FD1" s="342"/>
      <c r="FE1" s="344"/>
      <c r="FF1" s="345"/>
      <c r="FG1" s="342"/>
      <c r="FH1" s="342"/>
      <c r="FI1" s="342"/>
      <c r="FJ1" s="342"/>
      <c r="FK1" s="342"/>
      <c r="FL1" s="342"/>
      <c r="FM1" s="342"/>
      <c r="FN1" s="342"/>
      <c r="FO1" s="342"/>
      <c r="FP1" s="342"/>
      <c r="FQ1" s="342"/>
      <c r="FR1" s="342"/>
      <c r="FS1" s="342"/>
      <c r="FT1" s="342"/>
      <c r="FU1" s="342"/>
      <c r="FV1" s="342"/>
      <c r="FW1" s="342"/>
      <c r="FX1" s="342"/>
      <c r="FY1" s="342"/>
      <c r="FZ1" s="342"/>
      <c r="GA1" s="342"/>
      <c r="GB1" s="342"/>
      <c r="GC1" s="342"/>
      <c r="GD1" s="342"/>
      <c r="GE1" s="342"/>
      <c r="GF1" s="342"/>
      <c r="GG1" s="342"/>
      <c r="GH1" s="342"/>
      <c r="GI1" s="342"/>
      <c r="GJ1" s="342"/>
      <c r="GK1" s="342"/>
      <c r="GL1" s="342"/>
      <c r="GM1" s="342"/>
      <c r="GN1" s="342"/>
      <c r="GO1" s="342"/>
      <c r="GP1" s="342"/>
      <c r="GQ1" s="342"/>
      <c r="GR1" s="342"/>
      <c r="GS1" s="342"/>
      <c r="GT1" s="342"/>
      <c r="GU1" s="342"/>
      <c r="GV1" s="342"/>
      <c r="GW1" s="342"/>
      <c r="GX1" s="342"/>
      <c r="GY1" s="342"/>
      <c r="GZ1" s="342"/>
      <c r="HA1" s="342"/>
      <c r="HB1" s="342"/>
      <c r="HC1" s="342"/>
      <c r="HD1" s="342"/>
      <c r="HE1" s="342"/>
      <c r="HF1" s="342"/>
    </row>
    <row r="2" ht="15.0" customHeight="1">
      <c r="A2" s="346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7"/>
      <c r="CN2" s="347"/>
      <c r="CO2" s="347"/>
      <c r="CP2" s="347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8"/>
      <c r="FF2" s="349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</row>
    <row r="3" ht="15.0" customHeight="1">
      <c r="A3" s="350"/>
      <c r="B3" s="350"/>
      <c r="C3" s="351" t="s">
        <v>0</v>
      </c>
      <c r="AR3" s="352"/>
      <c r="AS3" s="351" t="s">
        <v>2</v>
      </c>
      <c r="BX3" s="352"/>
      <c r="BY3" s="351" t="s">
        <v>3</v>
      </c>
      <c r="CQ3" s="352"/>
      <c r="CR3" s="351" t="s">
        <v>4</v>
      </c>
      <c r="DK3" s="352"/>
      <c r="DL3" s="353" t="s">
        <v>126</v>
      </c>
      <c r="FE3" s="354"/>
      <c r="FF3" s="354"/>
      <c r="FG3" s="350"/>
      <c r="FH3" s="352"/>
      <c r="FI3" s="194" t="s">
        <v>1</v>
      </c>
      <c r="HF3" s="350"/>
    </row>
    <row r="4" ht="15.0" customHeight="1">
      <c r="A4" s="355" t="s">
        <v>127</v>
      </c>
      <c r="C4" s="26" t="s">
        <v>7</v>
      </c>
      <c r="D4" s="27"/>
      <c r="E4" s="27"/>
      <c r="F4" s="27"/>
      <c r="G4" s="27"/>
      <c r="H4" s="27"/>
      <c r="I4" s="27"/>
      <c r="J4" s="27"/>
      <c r="K4" s="28"/>
      <c r="L4" s="29" t="s">
        <v>8</v>
      </c>
      <c r="M4" s="30">
        <v>44531.0</v>
      </c>
      <c r="N4" s="30">
        <v>44532.0</v>
      </c>
      <c r="O4" s="30">
        <v>44533.0</v>
      </c>
      <c r="P4" s="30">
        <v>44534.0</v>
      </c>
      <c r="Q4" s="30">
        <v>44535.0</v>
      </c>
      <c r="R4" s="30">
        <v>44536.0</v>
      </c>
      <c r="S4" s="30">
        <v>44537.0</v>
      </c>
      <c r="T4" s="30">
        <v>44538.0</v>
      </c>
      <c r="U4" s="30">
        <v>44539.0</v>
      </c>
      <c r="V4" s="30">
        <v>44540.0</v>
      </c>
      <c r="W4" s="30">
        <v>44541.0</v>
      </c>
      <c r="X4" s="30">
        <v>44542.0</v>
      </c>
      <c r="Y4" s="30">
        <v>44543.0</v>
      </c>
      <c r="Z4" s="30">
        <v>44544.0</v>
      </c>
      <c r="AA4" s="30">
        <v>44545.0</v>
      </c>
      <c r="AB4" s="30">
        <v>44546.0</v>
      </c>
      <c r="AC4" s="30">
        <v>44547.0</v>
      </c>
      <c r="AD4" s="30">
        <v>44548.0</v>
      </c>
      <c r="AE4" s="30">
        <v>44549.0</v>
      </c>
      <c r="AF4" s="30">
        <v>44550.0</v>
      </c>
      <c r="AG4" s="30">
        <v>44551.0</v>
      </c>
      <c r="AH4" s="30">
        <v>44552.0</v>
      </c>
      <c r="AI4" s="30">
        <v>44553.0</v>
      </c>
      <c r="AJ4" s="30">
        <v>44554.0</v>
      </c>
      <c r="AK4" s="30">
        <v>44555.0</v>
      </c>
      <c r="AL4" s="30">
        <v>44556.0</v>
      </c>
      <c r="AM4" s="30">
        <v>44557.0</v>
      </c>
      <c r="AN4" s="30">
        <v>44558.0</v>
      </c>
      <c r="AO4" s="30">
        <v>44559.0</v>
      </c>
      <c r="AP4" s="30">
        <v>44560.0</v>
      </c>
      <c r="AQ4" s="30">
        <v>44561.0</v>
      </c>
      <c r="AR4" s="31"/>
      <c r="AS4" s="201" t="s">
        <v>11</v>
      </c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6"/>
      <c r="BF4" s="202" t="s">
        <v>12</v>
      </c>
      <c r="BG4" s="5"/>
      <c r="BH4" s="6"/>
      <c r="BI4" s="202" t="s">
        <v>13</v>
      </c>
      <c r="BJ4" s="5"/>
      <c r="BK4" s="6"/>
      <c r="BL4" s="204" t="s">
        <v>15</v>
      </c>
      <c r="BM4" s="5"/>
      <c r="BN4" s="6"/>
      <c r="BO4" s="203" t="s">
        <v>14</v>
      </c>
      <c r="BP4" s="5"/>
      <c r="BQ4" s="6"/>
      <c r="BR4" s="203" t="s">
        <v>16</v>
      </c>
      <c r="BS4" s="5"/>
      <c r="BT4" s="6"/>
      <c r="BU4" s="205" t="s">
        <v>17</v>
      </c>
      <c r="BV4" s="5"/>
      <c r="BW4" s="6"/>
      <c r="BX4" s="31"/>
      <c r="BY4" s="206" t="s">
        <v>18</v>
      </c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6"/>
      <c r="CM4" s="207" t="s">
        <v>12</v>
      </c>
      <c r="CN4" s="6"/>
      <c r="CO4" s="208" t="s">
        <v>19</v>
      </c>
      <c r="CP4" s="6"/>
      <c r="CQ4" s="31"/>
      <c r="CR4" s="206" t="s">
        <v>20</v>
      </c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6"/>
      <c r="DH4" s="209" t="s">
        <v>21</v>
      </c>
      <c r="DI4" s="5"/>
      <c r="DJ4" s="6"/>
      <c r="DK4" s="31"/>
      <c r="DL4" s="49" t="s">
        <v>22</v>
      </c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8"/>
      <c r="DX4" s="50" t="s">
        <v>23</v>
      </c>
      <c r="DY4" s="28"/>
      <c r="DZ4" s="51">
        <v>44531.0</v>
      </c>
      <c r="EA4" s="51">
        <v>44532.0</v>
      </c>
      <c r="EB4" s="51">
        <v>44533.0</v>
      </c>
      <c r="EC4" s="51">
        <v>44534.0</v>
      </c>
      <c r="ED4" s="51">
        <v>44535.0</v>
      </c>
      <c r="EE4" s="51">
        <v>44536.0</v>
      </c>
      <c r="EF4" s="51">
        <v>44537.0</v>
      </c>
      <c r="EG4" s="51">
        <v>44538.0</v>
      </c>
      <c r="EH4" s="51">
        <v>44539.0</v>
      </c>
      <c r="EI4" s="51">
        <v>44540.0</v>
      </c>
      <c r="EJ4" s="51">
        <v>44541.0</v>
      </c>
      <c r="EK4" s="51">
        <v>44542.0</v>
      </c>
      <c r="EL4" s="51">
        <v>44543.0</v>
      </c>
      <c r="EM4" s="51">
        <v>44544.0</v>
      </c>
      <c r="EN4" s="51">
        <v>44545.0</v>
      </c>
      <c r="EO4" s="51">
        <v>44546.0</v>
      </c>
      <c r="EP4" s="51">
        <v>44547.0</v>
      </c>
      <c r="EQ4" s="51">
        <v>44548.0</v>
      </c>
      <c r="ER4" s="51">
        <v>44549.0</v>
      </c>
      <c r="ES4" s="51">
        <v>44550.0</v>
      </c>
      <c r="ET4" s="51">
        <v>44551.0</v>
      </c>
      <c r="EU4" s="51">
        <v>44552.0</v>
      </c>
      <c r="EV4" s="51">
        <v>44553.0</v>
      </c>
      <c r="EW4" s="51">
        <v>44554.0</v>
      </c>
      <c r="EX4" s="51">
        <v>44555.0</v>
      </c>
      <c r="EY4" s="51">
        <v>44556.0</v>
      </c>
      <c r="EZ4" s="51">
        <v>44557.0</v>
      </c>
      <c r="FA4" s="51">
        <v>44558.0</v>
      </c>
      <c r="FB4" s="51">
        <v>44559.0</v>
      </c>
      <c r="FC4" s="51">
        <v>44560.0</v>
      </c>
      <c r="FD4" s="51">
        <v>44561.0</v>
      </c>
      <c r="FE4" s="52" t="s">
        <v>24</v>
      </c>
      <c r="FH4" s="53"/>
      <c r="FI4" s="132" t="s">
        <v>9</v>
      </c>
      <c r="FJ4" s="27"/>
      <c r="FK4" s="27"/>
      <c r="FL4" s="28"/>
      <c r="FM4" s="199" t="s">
        <v>128</v>
      </c>
      <c r="FN4" s="134"/>
      <c r="FO4" s="135"/>
      <c r="FP4" s="199" t="s">
        <v>129</v>
      </c>
      <c r="FQ4" s="134"/>
      <c r="FR4" s="135"/>
      <c r="FS4" s="199" t="s">
        <v>130</v>
      </c>
      <c r="FT4" s="134"/>
      <c r="FU4" s="135"/>
      <c r="FV4" s="199" t="s">
        <v>131</v>
      </c>
      <c r="FW4" s="134"/>
      <c r="FX4" s="135"/>
      <c r="FY4" s="200"/>
      <c r="FZ4" s="134"/>
      <c r="GA4" s="135"/>
      <c r="GB4" s="200"/>
      <c r="GC4" s="134"/>
      <c r="GD4" s="135"/>
      <c r="GE4" s="200"/>
      <c r="GF4" s="134"/>
      <c r="GG4" s="135"/>
      <c r="GH4" s="200"/>
      <c r="GI4" s="134"/>
      <c r="GJ4" s="135"/>
      <c r="GK4" s="200"/>
      <c r="GL4" s="134"/>
      <c r="GM4" s="135"/>
      <c r="GN4" s="200"/>
      <c r="GO4" s="134"/>
      <c r="GP4" s="135"/>
      <c r="GQ4" s="200"/>
      <c r="GR4" s="134"/>
      <c r="GS4" s="135"/>
      <c r="GT4" s="200"/>
      <c r="GU4" s="134"/>
      <c r="GV4" s="135"/>
      <c r="GW4" s="200"/>
      <c r="GX4" s="134"/>
      <c r="GY4" s="135"/>
      <c r="GZ4" s="200"/>
      <c r="HA4" s="134"/>
      <c r="HB4" s="135"/>
      <c r="HC4" s="200"/>
      <c r="HD4" s="134"/>
      <c r="HE4" s="135"/>
      <c r="HF4" s="356"/>
    </row>
    <row r="5" ht="15.0" customHeight="1">
      <c r="C5" s="55"/>
      <c r="K5" s="33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31"/>
      <c r="AS5" s="62" t="s">
        <v>25</v>
      </c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60"/>
      <c r="BF5" s="63">
        <f t="shared" ref="BF5:BF11" si="1">SUM(M8:AQ8)</f>
        <v>0</v>
      </c>
      <c r="BG5" s="59"/>
      <c r="BH5" s="60"/>
      <c r="BI5" s="64">
        <v>50.0</v>
      </c>
      <c r="BJ5" s="59"/>
      <c r="BK5" s="60"/>
      <c r="BL5" s="63">
        <v>0.0</v>
      </c>
      <c r="BM5" s="59"/>
      <c r="BN5" s="60"/>
      <c r="BO5" s="65">
        <v>0.0</v>
      </c>
      <c r="BP5" s="59"/>
      <c r="BQ5" s="60"/>
      <c r="BR5" s="66">
        <v>0.0</v>
      </c>
      <c r="BS5" s="59"/>
      <c r="BT5" s="60"/>
      <c r="BU5" s="67">
        <f>(BI5-BF5)/'График'!AK4</f>
        <v>2.173913043</v>
      </c>
      <c r="BV5" s="59"/>
      <c r="BW5" s="60"/>
      <c r="BX5" s="31"/>
      <c r="BY5" s="68" t="s">
        <v>26</v>
      </c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60"/>
      <c r="CM5" s="66" t="str">
        <f>BF7*100/BF5</f>
        <v>#DIV/0!</v>
      </c>
      <c r="CN5" s="60"/>
      <c r="CO5" s="69"/>
      <c r="CP5" s="60"/>
      <c r="CQ5" s="31"/>
      <c r="CR5" s="68" t="s">
        <v>27</v>
      </c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60"/>
      <c r="DH5" s="71">
        <f>FE14</f>
        <v>0</v>
      </c>
      <c r="DI5" s="59"/>
      <c r="DJ5" s="60"/>
      <c r="DK5" s="31"/>
      <c r="DL5" s="55"/>
      <c r="DW5" s="33"/>
      <c r="DX5" s="55"/>
      <c r="DY5" s="33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H5" s="53"/>
      <c r="FI5" s="57"/>
      <c r="FJ5" s="39"/>
      <c r="FK5" s="39"/>
      <c r="FL5" s="40"/>
      <c r="FM5" s="58"/>
      <c r="FN5" s="59"/>
      <c r="FO5" s="60"/>
      <c r="FP5" s="58"/>
      <c r="FQ5" s="59"/>
      <c r="FR5" s="60"/>
      <c r="FS5" s="58"/>
      <c r="FT5" s="59"/>
      <c r="FU5" s="60"/>
      <c r="FV5" s="58"/>
      <c r="FW5" s="59"/>
      <c r="FX5" s="60"/>
      <c r="FY5" s="58"/>
      <c r="FZ5" s="59"/>
      <c r="GA5" s="60"/>
      <c r="GB5" s="58"/>
      <c r="GC5" s="59"/>
      <c r="GD5" s="60"/>
      <c r="GE5" s="58"/>
      <c r="GF5" s="59"/>
      <c r="GG5" s="60"/>
      <c r="GH5" s="58"/>
      <c r="GI5" s="59"/>
      <c r="GJ5" s="60"/>
      <c r="GK5" s="58"/>
      <c r="GL5" s="59"/>
      <c r="GM5" s="60"/>
      <c r="GN5" s="58"/>
      <c r="GO5" s="59"/>
      <c r="GP5" s="60"/>
      <c r="GQ5" s="58"/>
      <c r="GR5" s="59"/>
      <c r="GS5" s="60"/>
      <c r="GT5" s="58"/>
      <c r="GU5" s="59"/>
      <c r="GV5" s="60"/>
      <c r="GW5" s="58"/>
      <c r="GX5" s="59"/>
      <c r="GY5" s="60"/>
      <c r="GZ5" s="58"/>
      <c r="HA5" s="59"/>
      <c r="HB5" s="60"/>
      <c r="HC5" s="58"/>
      <c r="HD5" s="59"/>
      <c r="HE5" s="60"/>
      <c r="HF5" s="356"/>
    </row>
    <row r="6" ht="15.0" customHeight="1">
      <c r="C6" s="55"/>
      <c r="K6" s="33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31"/>
      <c r="AS6" s="77" t="s">
        <v>28</v>
      </c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5"/>
      <c r="BF6" s="78">
        <f t="shared" si="1"/>
        <v>0</v>
      </c>
      <c r="BG6" s="74"/>
      <c r="BH6" s="75"/>
      <c r="BI6" s="79">
        <v>50.0</v>
      </c>
      <c r="BJ6" s="74"/>
      <c r="BK6" s="75"/>
      <c r="BL6" s="78">
        <f t="shared" ref="BL6:BL9" si="2">IF(BF6&lt;BI6,BF6,IF(BF6&gt;=BI6,BI6))</f>
        <v>0</v>
      </c>
      <c r="BM6" s="74"/>
      <c r="BN6" s="75"/>
      <c r="BO6" s="80">
        <f t="shared" ref="BO6:BO9" si="3">2500*BR6/100</f>
        <v>0</v>
      </c>
      <c r="BP6" s="74"/>
      <c r="BQ6" s="75"/>
      <c r="BR6" s="81">
        <f t="shared" ref="BR6:BR9" si="4">BL6*100/BI6</f>
        <v>0</v>
      </c>
      <c r="BS6" s="74"/>
      <c r="BT6" s="75"/>
      <c r="BU6" s="82">
        <f>(BI6-BF6)/'График'!AK4</f>
        <v>2.173913043</v>
      </c>
      <c r="BV6" s="74"/>
      <c r="BW6" s="75"/>
      <c r="BX6" s="31"/>
      <c r="BY6" s="83" t="s">
        <v>29</v>
      </c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5"/>
      <c r="CM6" s="81" t="str">
        <f>BF8*100/BF5</f>
        <v>#DIV/0!</v>
      </c>
      <c r="CN6" s="75"/>
      <c r="CO6" s="69"/>
      <c r="CP6" s="60"/>
      <c r="CQ6" s="31"/>
      <c r="CR6" s="92" t="s">
        <v>30</v>
      </c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5"/>
      <c r="DH6" s="85">
        <f>sum(BO6:BQ9,BO11)</f>
        <v>0</v>
      </c>
      <c r="DI6" s="74"/>
      <c r="DJ6" s="75"/>
      <c r="DK6" s="31"/>
      <c r="DL6" s="55"/>
      <c r="DW6" s="33"/>
      <c r="DX6" s="55"/>
      <c r="DY6" s="33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H6" s="53"/>
      <c r="FI6" s="72" t="s">
        <v>21</v>
      </c>
      <c r="FJ6" s="27"/>
      <c r="FK6" s="27"/>
      <c r="FL6" s="28"/>
      <c r="FM6" s="73">
        <v>20000.0</v>
      </c>
      <c r="FN6" s="74"/>
      <c r="FO6" s="75"/>
      <c r="FP6" s="73">
        <v>20000.0</v>
      </c>
      <c r="FQ6" s="74"/>
      <c r="FR6" s="75"/>
      <c r="FS6" s="73">
        <v>20000.0</v>
      </c>
      <c r="FT6" s="74"/>
      <c r="FU6" s="75"/>
      <c r="FV6" s="73">
        <v>15000.0</v>
      </c>
      <c r="FW6" s="74"/>
      <c r="FX6" s="75"/>
      <c r="FY6" s="76"/>
      <c r="FZ6" s="74"/>
      <c r="GA6" s="75"/>
      <c r="GB6" s="76"/>
      <c r="GC6" s="74"/>
      <c r="GD6" s="75"/>
      <c r="GE6" s="76"/>
      <c r="GF6" s="74"/>
      <c r="GG6" s="75"/>
      <c r="GH6" s="76"/>
      <c r="GI6" s="74"/>
      <c r="GJ6" s="75"/>
      <c r="GK6" s="76"/>
      <c r="GL6" s="74"/>
      <c r="GM6" s="75"/>
      <c r="GN6" s="76"/>
      <c r="GO6" s="74"/>
      <c r="GP6" s="75"/>
      <c r="GQ6" s="76"/>
      <c r="GR6" s="74"/>
      <c r="GS6" s="75"/>
      <c r="GT6" s="76"/>
      <c r="GU6" s="74"/>
      <c r="GV6" s="75"/>
      <c r="GW6" s="76"/>
      <c r="GX6" s="74"/>
      <c r="GY6" s="75"/>
      <c r="GZ6" s="76"/>
      <c r="HA6" s="74"/>
      <c r="HB6" s="75"/>
      <c r="HC6" s="76"/>
      <c r="HD6" s="74"/>
      <c r="HE6" s="75"/>
      <c r="HF6" s="356"/>
    </row>
    <row r="7" ht="15.0" customHeight="1">
      <c r="C7" s="57"/>
      <c r="D7" s="39"/>
      <c r="E7" s="39"/>
      <c r="F7" s="39"/>
      <c r="G7" s="39"/>
      <c r="H7" s="39"/>
      <c r="I7" s="39"/>
      <c r="J7" s="39"/>
      <c r="K7" s="40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31"/>
      <c r="AS7" s="91" t="s">
        <v>32</v>
      </c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5"/>
      <c r="BF7" s="78">
        <f t="shared" si="1"/>
        <v>0</v>
      </c>
      <c r="BG7" s="74"/>
      <c r="BH7" s="75"/>
      <c r="BI7" s="79">
        <v>40.0</v>
      </c>
      <c r="BJ7" s="74"/>
      <c r="BK7" s="75"/>
      <c r="BL7" s="78">
        <f t="shared" si="2"/>
        <v>0</v>
      </c>
      <c r="BM7" s="74"/>
      <c r="BN7" s="75"/>
      <c r="BO7" s="80">
        <f t="shared" si="3"/>
        <v>0</v>
      </c>
      <c r="BP7" s="74"/>
      <c r="BQ7" s="75"/>
      <c r="BR7" s="81">
        <f t="shared" si="4"/>
        <v>0</v>
      </c>
      <c r="BS7" s="74"/>
      <c r="BT7" s="75"/>
      <c r="BU7" s="82">
        <f>(BI7-BF7)/'График'!AK4</f>
        <v>1.739130435</v>
      </c>
      <c r="BV7" s="74"/>
      <c r="BW7" s="75"/>
      <c r="BX7" s="31"/>
      <c r="BY7" s="92" t="s">
        <v>33</v>
      </c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5"/>
      <c r="CM7" s="81" t="str">
        <f>BF9*100/BF5</f>
        <v>#DIV/0!</v>
      </c>
      <c r="CN7" s="75"/>
      <c r="CO7" s="69"/>
      <c r="CP7" s="60"/>
      <c r="CQ7" s="31"/>
      <c r="CR7" s="92" t="s">
        <v>34</v>
      </c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5"/>
      <c r="DH7" s="93">
        <f>sum(BR6,BR7,BR8,BR9,BR11)/5</f>
        <v>0</v>
      </c>
      <c r="DI7" s="74"/>
      <c r="DJ7" s="75"/>
      <c r="DK7" s="31"/>
      <c r="DL7" s="57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40"/>
      <c r="DX7" s="57"/>
      <c r="DY7" s="40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H7" s="53"/>
      <c r="FI7" s="87" t="s">
        <v>31</v>
      </c>
      <c r="FJ7" s="88"/>
      <c r="FK7" s="88"/>
      <c r="FL7" s="89"/>
      <c r="FM7" s="90">
        <v>1.0</v>
      </c>
      <c r="FN7" s="59"/>
      <c r="FO7" s="60"/>
      <c r="FP7" s="90">
        <v>1.0</v>
      </c>
      <c r="FQ7" s="59"/>
      <c r="FR7" s="60"/>
      <c r="FS7" s="90">
        <v>3.0</v>
      </c>
      <c r="FT7" s="59"/>
      <c r="FU7" s="60"/>
      <c r="FV7" s="90">
        <v>4.0</v>
      </c>
      <c r="FW7" s="59"/>
      <c r="FX7" s="60"/>
      <c r="FY7" s="90">
        <v>5.0</v>
      </c>
      <c r="FZ7" s="59"/>
      <c r="GA7" s="60"/>
      <c r="GB7" s="90">
        <v>6.0</v>
      </c>
      <c r="GC7" s="59"/>
      <c r="GD7" s="60"/>
      <c r="GE7" s="90">
        <v>7.0</v>
      </c>
      <c r="GF7" s="59"/>
      <c r="GG7" s="60"/>
      <c r="GH7" s="90">
        <v>8.0</v>
      </c>
      <c r="GI7" s="59"/>
      <c r="GJ7" s="60"/>
      <c r="GK7" s="90">
        <v>9.0</v>
      </c>
      <c r="GL7" s="59"/>
      <c r="GM7" s="60"/>
      <c r="GN7" s="90">
        <v>10.0</v>
      </c>
      <c r="GO7" s="59"/>
      <c r="GP7" s="60"/>
      <c r="GQ7" s="90">
        <v>11.0</v>
      </c>
      <c r="GR7" s="59"/>
      <c r="GS7" s="60"/>
      <c r="GT7" s="90">
        <v>12.0</v>
      </c>
      <c r="GU7" s="59"/>
      <c r="GV7" s="60"/>
      <c r="GW7" s="90">
        <v>13.0</v>
      </c>
      <c r="GX7" s="59"/>
      <c r="GY7" s="60"/>
      <c r="GZ7" s="90">
        <v>14.0</v>
      </c>
      <c r="HA7" s="59"/>
      <c r="HB7" s="60"/>
      <c r="HC7" s="90">
        <v>15.0</v>
      </c>
      <c r="HD7" s="59"/>
      <c r="HE7" s="60"/>
      <c r="HF7" s="356"/>
    </row>
    <row r="8" ht="15.0" customHeight="1">
      <c r="C8" s="95" t="s">
        <v>35</v>
      </c>
      <c r="D8" s="59"/>
      <c r="E8" s="59"/>
      <c r="F8" s="59"/>
      <c r="G8" s="59"/>
      <c r="H8" s="59"/>
      <c r="I8" s="59"/>
      <c r="J8" s="59"/>
      <c r="K8" s="59"/>
      <c r="L8" s="60"/>
      <c r="M8" s="96"/>
      <c r="N8" s="97"/>
      <c r="O8" s="97"/>
      <c r="P8" s="97"/>
      <c r="Q8" s="97"/>
      <c r="R8" s="97"/>
      <c r="S8" s="97"/>
      <c r="T8" s="97"/>
      <c r="U8" s="97"/>
      <c r="V8" s="97"/>
      <c r="W8" s="97"/>
      <c r="X8" s="357"/>
      <c r="Y8" s="357"/>
      <c r="Z8" s="97"/>
      <c r="AA8" s="97"/>
      <c r="AB8" s="357"/>
      <c r="AC8" s="357"/>
      <c r="AD8" s="96"/>
      <c r="AE8" s="97"/>
      <c r="AF8" s="97"/>
      <c r="AG8" s="35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31"/>
      <c r="AS8" s="91" t="s">
        <v>38</v>
      </c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/>
      <c r="BF8" s="78">
        <f t="shared" si="1"/>
        <v>0</v>
      </c>
      <c r="BG8" s="74"/>
      <c r="BH8" s="75"/>
      <c r="BI8" s="79">
        <v>30.0</v>
      </c>
      <c r="BJ8" s="74"/>
      <c r="BK8" s="75"/>
      <c r="BL8" s="78">
        <f t="shared" si="2"/>
        <v>0</v>
      </c>
      <c r="BM8" s="74"/>
      <c r="BN8" s="75"/>
      <c r="BO8" s="80">
        <f t="shared" si="3"/>
        <v>0</v>
      </c>
      <c r="BP8" s="74"/>
      <c r="BQ8" s="75"/>
      <c r="BR8" s="81">
        <f t="shared" si="4"/>
        <v>0</v>
      </c>
      <c r="BS8" s="74"/>
      <c r="BT8" s="75"/>
      <c r="BU8" s="82">
        <f>(BI8-BF8)/'График'!AK4</f>
        <v>1.304347826</v>
      </c>
      <c r="BV8" s="74"/>
      <c r="BW8" s="75"/>
      <c r="BX8" s="31"/>
      <c r="BY8" s="83" t="s">
        <v>39</v>
      </c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5"/>
      <c r="CM8" s="81" t="str">
        <f>BF7*100/BF6</f>
        <v>#DIV/0!</v>
      </c>
      <c r="CN8" s="75"/>
      <c r="CO8" s="69"/>
      <c r="CP8" s="60"/>
      <c r="CQ8" s="31"/>
      <c r="CR8" s="83" t="s">
        <v>45</v>
      </c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5"/>
      <c r="DH8" s="85"/>
      <c r="DI8" s="74"/>
      <c r="DJ8" s="75"/>
      <c r="DK8" s="31"/>
      <c r="DL8" s="95" t="s">
        <v>41</v>
      </c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60"/>
      <c r="DX8" s="103">
        <v>200.0</v>
      </c>
      <c r="DY8" s="60"/>
      <c r="DZ8" s="106"/>
      <c r="EA8" s="105"/>
      <c r="EB8" s="106"/>
      <c r="EC8" s="105"/>
      <c r="ED8" s="105"/>
      <c r="EE8" s="106"/>
      <c r="EF8" s="105"/>
      <c r="EG8" s="105"/>
      <c r="EH8" s="105"/>
      <c r="EI8" s="106"/>
      <c r="EJ8" s="106"/>
      <c r="EK8" s="105"/>
      <c r="EL8" s="106"/>
      <c r="EM8" s="105"/>
      <c r="EN8" s="105"/>
      <c r="EO8" s="106"/>
      <c r="EP8" s="106"/>
      <c r="EQ8" s="105"/>
      <c r="ER8" s="105"/>
      <c r="ES8" s="106"/>
      <c r="ET8" s="105"/>
      <c r="EU8" s="105"/>
      <c r="EV8" s="105"/>
      <c r="EW8" s="106"/>
      <c r="EX8" s="105"/>
      <c r="EY8" s="105"/>
      <c r="EZ8" s="105"/>
      <c r="FA8" s="106"/>
      <c r="FB8" s="105"/>
      <c r="FC8" s="105"/>
      <c r="FD8" s="105"/>
      <c r="FE8" s="107">
        <f t="shared" ref="FE8:FE13" si="5">sum(DZ8:FD8)*DX8</f>
        <v>0</v>
      </c>
      <c r="FF8" s="74"/>
      <c r="FG8" s="75"/>
      <c r="FH8" s="108"/>
      <c r="FI8" s="98" t="s">
        <v>36</v>
      </c>
      <c r="FJ8" s="5"/>
      <c r="FK8" s="5"/>
      <c r="FL8" s="99" t="s">
        <v>37</v>
      </c>
      <c r="FM8" s="100">
        <v>10.0</v>
      </c>
      <c r="FN8" s="59"/>
      <c r="FO8" s="60"/>
      <c r="FP8" s="101">
        <v>10.0</v>
      </c>
      <c r="FQ8" s="59"/>
      <c r="FR8" s="60"/>
      <c r="FS8" s="101">
        <v>10.0</v>
      </c>
      <c r="FT8" s="59"/>
      <c r="FU8" s="60"/>
      <c r="FV8" s="101">
        <v>10.0</v>
      </c>
      <c r="FW8" s="59"/>
      <c r="FX8" s="60"/>
      <c r="FY8" s="101">
        <v>10.0</v>
      </c>
      <c r="FZ8" s="59"/>
      <c r="GA8" s="60"/>
      <c r="GB8" s="101">
        <v>10.0</v>
      </c>
      <c r="GC8" s="59"/>
      <c r="GD8" s="60"/>
      <c r="GE8" s="101">
        <v>10.0</v>
      </c>
      <c r="GF8" s="59"/>
      <c r="GG8" s="60"/>
      <c r="GH8" s="101">
        <v>10.0</v>
      </c>
      <c r="GI8" s="59"/>
      <c r="GJ8" s="60"/>
      <c r="GK8" s="101">
        <v>10.0</v>
      </c>
      <c r="GL8" s="59"/>
      <c r="GM8" s="60"/>
      <c r="GN8" s="101">
        <v>10.0</v>
      </c>
      <c r="GO8" s="59"/>
      <c r="GP8" s="60"/>
      <c r="GQ8" s="101">
        <v>10.0</v>
      </c>
      <c r="GR8" s="59"/>
      <c r="GS8" s="60"/>
      <c r="GT8" s="101">
        <v>10.0</v>
      </c>
      <c r="GU8" s="59"/>
      <c r="GV8" s="60"/>
      <c r="GW8" s="101">
        <v>10.0</v>
      </c>
      <c r="GX8" s="59"/>
      <c r="GY8" s="60"/>
      <c r="GZ8" s="101">
        <v>10.0</v>
      </c>
      <c r="HA8" s="59"/>
      <c r="HB8" s="60"/>
      <c r="HC8" s="101">
        <v>10.0</v>
      </c>
      <c r="HD8" s="59"/>
      <c r="HE8" s="60"/>
      <c r="HF8" s="356"/>
    </row>
    <row r="9" ht="15.0" customHeight="1">
      <c r="C9" s="110" t="s">
        <v>42</v>
      </c>
      <c r="D9" s="74"/>
      <c r="E9" s="74"/>
      <c r="F9" s="74"/>
      <c r="G9" s="74"/>
      <c r="H9" s="74"/>
      <c r="I9" s="74"/>
      <c r="J9" s="74"/>
      <c r="K9" s="74"/>
      <c r="L9" s="75"/>
      <c r="M9" s="111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358"/>
      <c r="Y9" s="358"/>
      <c r="Z9" s="112"/>
      <c r="AA9" s="112"/>
      <c r="AB9" s="358"/>
      <c r="AC9" s="358"/>
      <c r="AD9" s="111"/>
      <c r="AE9" s="112"/>
      <c r="AF9" s="112"/>
      <c r="AG9" s="358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31"/>
      <c r="AS9" s="77" t="s">
        <v>43</v>
      </c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8">
        <f t="shared" si="1"/>
        <v>0</v>
      </c>
      <c r="BG9" s="74"/>
      <c r="BH9" s="75"/>
      <c r="BI9" s="79">
        <v>4.0</v>
      </c>
      <c r="BJ9" s="74"/>
      <c r="BK9" s="75"/>
      <c r="BL9" s="78">
        <f t="shared" si="2"/>
        <v>0</v>
      </c>
      <c r="BM9" s="74"/>
      <c r="BN9" s="75"/>
      <c r="BO9" s="80">
        <f t="shared" si="3"/>
        <v>0</v>
      </c>
      <c r="BP9" s="74"/>
      <c r="BQ9" s="75"/>
      <c r="BR9" s="81">
        <f t="shared" si="4"/>
        <v>0</v>
      </c>
      <c r="BS9" s="74"/>
      <c r="BT9" s="75"/>
      <c r="BU9" s="82">
        <f>(BI9-BF9)/'График'!AK4</f>
        <v>0.1739130435</v>
      </c>
      <c r="BV9" s="74"/>
      <c r="BW9" s="75"/>
      <c r="BX9" s="31"/>
      <c r="BY9" s="83" t="s">
        <v>44</v>
      </c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5"/>
      <c r="CM9" s="81" t="str">
        <f>BF8*100/BF6</f>
        <v>#DIV/0!</v>
      </c>
      <c r="CN9" s="75"/>
      <c r="CO9" s="69"/>
      <c r="CP9" s="60"/>
      <c r="CQ9" s="31"/>
      <c r="CR9" s="83" t="s">
        <v>50</v>
      </c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5"/>
      <c r="DH9" s="85"/>
      <c r="DI9" s="74"/>
      <c r="DJ9" s="75"/>
      <c r="DK9" s="31"/>
      <c r="DL9" s="92" t="s">
        <v>46</v>
      </c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5"/>
      <c r="DX9" s="116">
        <v>200.0</v>
      </c>
      <c r="DY9" s="75"/>
      <c r="DZ9" s="119"/>
      <c r="EA9" s="118"/>
      <c r="EB9" s="119"/>
      <c r="EC9" s="118"/>
      <c r="ED9" s="118"/>
      <c r="EE9" s="118"/>
      <c r="EF9" s="118"/>
      <c r="EG9" s="119"/>
      <c r="EH9" s="118"/>
      <c r="EI9" s="118"/>
      <c r="EJ9" s="118"/>
      <c r="EK9" s="118"/>
      <c r="EL9" s="118"/>
      <c r="EM9" s="118"/>
      <c r="EN9" s="118"/>
      <c r="EO9" s="118"/>
      <c r="EP9" s="118"/>
      <c r="EQ9" s="118"/>
      <c r="ER9" s="118"/>
      <c r="ES9" s="118"/>
      <c r="ET9" s="118"/>
      <c r="EU9" s="118"/>
      <c r="EV9" s="118"/>
      <c r="EW9" s="118"/>
      <c r="EX9" s="118"/>
      <c r="EY9" s="118"/>
      <c r="EZ9" s="118"/>
      <c r="FA9" s="118"/>
      <c r="FB9" s="118"/>
      <c r="FC9" s="118"/>
      <c r="FD9" s="119"/>
      <c r="FE9" s="107">
        <f t="shared" si="5"/>
        <v>0</v>
      </c>
      <c r="FF9" s="74"/>
      <c r="FG9" s="75"/>
      <c r="FH9" s="108"/>
      <c r="FI9" s="113">
        <f>SUM(FM9:HD9)</f>
        <v>7500</v>
      </c>
      <c r="FJ9" s="59"/>
      <c r="FK9" s="59"/>
      <c r="FL9" s="60"/>
      <c r="FM9" s="114">
        <f>(FM6*FM8)/100</f>
        <v>2000</v>
      </c>
      <c r="FN9" s="74"/>
      <c r="FO9" s="75"/>
      <c r="FP9" s="115">
        <f>(FP6*FP8)/100</f>
        <v>2000</v>
      </c>
      <c r="FQ9" s="74"/>
      <c r="FR9" s="75"/>
      <c r="FS9" s="115">
        <f>(FS6*FS8)/100</f>
        <v>2000</v>
      </c>
      <c r="FT9" s="74"/>
      <c r="FU9" s="75"/>
      <c r="FV9" s="115">
        <f>(FV6*FV8)/100</f>
        <v>1500</v>
      </c>
      <c r="FW9" s="74"/>
      <c r="FX9" s="75"/>
      <c r="FY9" s="115">
        <f>(FY6*FY8)/100</f>
        <v>0</v>
      </c>
      <c r="FZ9" s="74"/>
      <c r="GA9" s="75"/>
      <c r="GB9" s="115">
        <f>(GB6*GB8)/100</f>
        <v>0</v>
      </c>
      <c r="GC9" s="74"/>
      <c r="GD9" s="75"/>
      <c r="GE9" s="115">
        <f>(GE6*GE8)/100</f>
        <v>0</v>
      </c>
      <c r="GF9" s="74"/>
      <c r="GG9" s="75"/>
      <c r="GH9" s="115">
        <f>(GH6*GH8)/100</f>
        <v>0</v>
      </c>
      <c r="GI9" s="74"/>
      <c r="GJ9" s="75"/>
      <c r="GK9" s="115">
        <f>(GK6*GK8)/100</f>
        <v>0</v>
      </c>
      <c r="GL9" s="74"/>
      <c r="GM9" s="75"/>
      <c r="GN9" s="115">
        <f>(GN6*GN8)/100</f>
        <v>0</v>
      </c>
      <c r="GO9" s="74"/>
      <c r="GP9" s="75"/>
      <c r="GQ9" s="115">
        <f>(GQ6*GQ8)/100</f>
        <v>0</v>
      </c>
      <c r="GR9" s="74"/>
      <c r="GS9" s="75"/>
      <c r="GT9" s="115">
        <f>(GT6*GT8)/100</f>
        <v>0</v>
      </c>
      <c r="GU9" s="74"/>
      <c r="GV9" s="75"/>
      <c r="GW9" s="115">
        <f>(GW6*GW8)/100</f>
        <v>0</v>
      </c>
      <c r="GX9" s="74"/>
      <c r="GY9" s="75"/>
      <c r="GZ9" s="115">
        <f>(GZ6*GZ8)/100</f>
        <v>0</v>
      </c>
      <c r="HA9" s="74"/>
      <c r="HB9" s="75"/>
      <c r="HC9" s="115">
        <f>(HC6*HC8)/100</f>
        <v>0</v>
      </c>
      <c r="HD9" s="74"/>
      <c r="HE9" s="75"/>
      <c r="HF9" s="356"/>
    </row>
    <row r="10" ht="15.0" customHeight="1">
      <c r="C10" s="83" t="s">
        <v>32</v>
      </c>
      <c r="D10" s="74"/>
      <c r="E10" s="74"/>
      <c r="F10" s="74"/>
      <c r="G10" s="74"/>
      <c r="H10" s="74"/>
      <c r="I10" s="74"/>
      <c r="J10" s="74"/>
      <c r="K10" s="74"/>
      <c r="L10" s="75"/>
      <c r="M10" s="111"/>
      <c r="N10" s="111"/>
      <c r="O10" s="111"/>
      <c r="P10" s="112"/>
      <c r="Q10" s="112"/>
      <c r="R10" s="112"/>
      <c r="S10" s="111"/>
      <c r="T10" s="112"/>
      <c r="U10" s="111"/>
      <c r="V10" s="111"/>
      <c r="W10" s="111"/>
      <c r="X10" s="358"/>
      <c r="Y10" s="358"/>
      <c r="Z10" s="112"/>
      <c r="AA10" s="112"/>
      <c r="AB10" s="358"/>
      <c r="AC10" s="358"/>
      <c r="AD10" s="111"/>
      <c r="AE10" s="112"/>
      <c r="AF10" s="112"/>
      <c r="AG10" s="358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31"/>
      <c r="AS10" s="91" t="s">
        <v>48</v>
      </c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  <c r="BF10" s="78">
        <f t="shared" si="1"/>
        <v>0</v>
      </c>
      <c r="BG10" s="74"/>
      <c r="BH10" s="75"/>
      <c r="BI10" s="79">
        <v>4.0</v>
      </c>
      <c r="BJ10" s="74"/>
      <c r="BK10" s="75"/>
      <c r="BL10" s="78">
        <v>0.0</v>
      </c>
      <c r="BM10" s="74"/>
      <c r="BN10" s="75"/>
      <c r="BO10" s="80">
        <v>0.0</v>
      </c>
      <c r="BP10" s="74"/>
      <c r="BQ10" s="75"/>
      <c r="BR10" s="81">
        <v>0.0</v>
      </c>
      <c r="BS10" s="74"/>
      <c r="BT10" s="75"/>
      <c r="BU10" s="82">
        <f>(BI10-BF10)/'График'!AK4</f>
        <v>0.1739130435</v>
      </c>
      <c r="BV10" s="74"/>
      <c r="BW10" s="75"/>
      <c r="BX10" s="31"/>
      <c r="BY10" s="92" t="s">
        <v>49</v>
      </c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5"/>
      <c r="CM10" s="81" t="str">
        <f>BF9*100/BF6</f>
        <v>#DIV/0!</v>
      </c>
      <c r="CN10" s="75"/>
      <c r="CO10" s="69"/>
      <c r="CP10" s="60"/>
      <c r="CQ10" s="31"/>
      <c r="CR10" s="83" t="s">
        <v>54</v>
      </c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5"/>
      <c r="DH10" s="85">
        <f>if(DH7&gt;84,BF11*15%+DH6,if(DH7&lt;85,BF11*5%+DH6))</f>
        <v>0</v>
      </c>
      <c r="DI10" s="74"/>
      <c r="DJ10" s="75"/>
      <c r="DK10" s="31"/>
      <c r="DL10" s="92" t="s">
        <v>51</v>
      </c>
      <c r="DM10" s="74"/>
      <c r="DN10" s="74"/>
      <c r="DO10" s="74"/>
      <c r="DP10" s="74"/>
      <c r="DQ10" s="74"/>
      <c r="DR10" s="74"/>
      <c r="DS10" s="74"/>
      <c r="DT10" s="74"/>
      <c r="DU10" s="74"/>
      <c r="DV10" s="74"/>
      <c r="DW10" s="75"/>
      <c r="DX10" s="116">
        <v>500.0</v>
      </c>
      <c r="DY10" s="75"/>
      <c r="DZ10" s="119"/>
      <c r="EA10" s="118"/>
      <c r="EB10" s="117"/>
      <c r="EC10" s="118"/>
      <c r="ED10" s="118"/>
      <c r="EE10" s="118"/>
      <c r="EF10" s="118"/>
      <c r="EG10" s="119"/>
      <c r="EH10" s="118"/>
      <c r="EI10" s="118"/>
      <c r="EJ10" s="118"/>
      <c r="EK10" s="118"/>
      <c r="EL10" s="118"/>
      <c r="EM10" s="118"/>
      <c r="EN10" s="118"/>
      <c r="EO10" s="118"/>
      <c r="EP10" s="118"/>
      <c r="EQ10" s="118"/>
      <c r="ER10" s="118"/>
      <c r="ES10" s="118"/>
      <c r="ET10" s="118"/>
      <c r="EU10" s="118"/>
      <c r="EV10" s="118"/>
      <c r="EW10" s="118"/>
      <c r="EX10" s="118"/>
      <c r="EY10" s="118"/>
      <c r="EZ10" s="118"/>
      <c r="FA10" s="118"/>
      <c r="FB10" s="118"/>
      <c r="FC10" s="118"/>
      <c r="FD10" s="118"/>
      <c r="FE10" s="107">
        <f t="shared" si="5"/>
        <v>0</v>
      </c>
      <c r="FF10" s="74"/>
      <c r="FG10" s="75"/>
      <c r="FH10" s="108"/>
      <c r="FI10" s="98" t="s">
        <v>47</v>
      </c>
      <c r="FJ10" s="5"/>
      <c r="FK10" s="5"/>
      <c r="FL10" s="99" t="s">
        <v>37</v>
      </c>
      <c r="FM10" s="121"/>
      <c r="FN10" s="74"/>
      <c r="FO10" s="75"/>
      <c r="FP10" s="122"/>
      <c r="FQ10" s="74"/>
      <c r="FR10" s="75"/>
      <c r="FS10" s="122"/>
      <c r="FT10" s="74"/>
      <c r="FU10" s="75"/>
      <c r="FV10" s="101">
        <v>10.0</v>
      </c>
      <c r="FW10" s="59"/>
      <c r="FX10" s="60"/>
      <c r="FY10" s="101">
        <v>10.0</v>
      </c>
      <c r="FZ10" s="59"/>
      <c r="GA10" s="60"/>
      <c r="GB10" s="101">
        <v>10.0</v>
      </c>
      <c r="GC10" s="59"/>
      <c r="GD10" s="60"/>
      <c r="GE10" s="101">
        <v>10.0</v>
      </c>
      <c r="GF10" s="59"/>
      <c r="GG10" s="60"/>
      <c r="GH10" s="101">
        <v>10.0</v>
      </c>
      <c r="GI10" s="59"/>
      <c r="GJ10" s="60"/>
      <c r="GK10" s="101">
        <v>10.0</v>
      </c>
      <c r="GL10" s="59"/>
      <c r="GM10" s="60"/>
      <c r="GN10" s="101">
        <v>10.0</v>
      </c>
      <c r="GO10" s="59"/>
      <c r="GP10" s="60"/>
      <c r="GQ10" s="101">
        <v>10.0</v>
      </c>
      <c r="GR10" s="59"/>
      <c r="GS10" s="60"/>
      <c r="GT10" s="101">
        <v>10.0</v>
      </c>
      <c r="GU10" s="59"/>
      <c r="GV10" s="60"/>
      <c r="GW10" s="101">
        <v>10.0</v>
      </c>
      <c r="GX10" s="59"/>
      <c r="GY10" s="60"/>
      <c r="GZ10" s="101">
        <v>10.0</v>
      </c>
      <c r="HA10" s="59"/>
      <c r="HB10" s="60"/>
      <c r="HC10" s="101">
        <v>10.0</v>
      </c>
      <c r="HD10" s="59"/>
      <c r="HE10" s="60"/>
      <c r="HF10" s="359"/>
    </row>
    <row r="11" ht="15.0" customHeight="1">
      <c r="C11" s="83" t="s">
        <v>38</v>
      </c>
      <c r="D11" s="74"/>
      <c r="E11" s="74"/>
      <c r="F11" s="74"/>
      <c r="G11" s="74"/>
      <c r="H11" s="74"/>
      <c r="I11" s="74"/>
      <c r="J11" s="74"/>
      <c r="K11" s="74"/>
      <c r="L11" s="75"/>
      <c r="M11" s="111"/>
      <c r="N11" s="111"/>
      <c r="O11" s="111"/>
      <c r="P11" s="111"/>
      <c r="Q11" s="112"/>
      <c r="R11" s="112"/>
      <c r="S11" s="111"/>
      <c r="T11" s="111"/>
      <c r="U11" s="111"/>
      <c r="V11" s="111"/>
      <c r="W11" s="111"/>
      <c r="X11" s="358"/>
      <c r="Y11" s="358"/>
      <c r="Z11" s="111"/>
      <c r="AA11" s="111"/>
      <c r="AB11" s="358"/>
      <c r="AC11" s="358"/>
      <c r="AD11" s="111"/>
      <c r="AE11" s="112"/>
      <c r="AF11" s="112"/>
      <c r="AG11" s="358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31"/>
      <c r="AS11" s="77" t="s">
        <v>52</v>
      </c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5"/>
      <c r="BF11" s="80">
        <f t="shared" si="1"/>
        <v>0</v>
      </c>
      <c r="BG11" s="74"/>
      <c r="BH11" s="75"/>
      <c r="BI11" s="125">
        <v>80000.0</v>
      </c>
      <c r="BJ11" s="74"/>
      <c r="BK11" s="75"/>
      <c r="BL11" s="126">
        <f>IF(BF11&lt;BI11,BF11,IF(BF11&gt;=BI11,BI11))</f>
        <v>0</v>
      </c>
      <c r="BM11" s="74"/>
      <c r="BN11" s="75"/>
      <c r="BO11" s="80">
        <f>5000*BR11/100</f>
        <v>0</v>
      </c>
      <c r="BP11" s="74"/>
      <c r="BQ11" s="75"/>
      <c r="BR11" s="81">
        <f>BL11*100/BI11</f>
        <v>0</v>
      </c>
      <c r="BS11" s="74"/>
      <c r="BT11" s="75"/>
      <c r="BU11" s="80">
        <f>(BI11-BF11)/'График'!AK4</f>
        <v>3478.26087</v>
      </c>
      <c r="BV11" s="74"/>
      <c r="BW11" s="75"/>
      <c r="BX11" s="31"/>
      <c r="BY11" s="83" t="s">
        <v>53</v>
      </c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5"/>
      <c r="CM11" s="81" t="str">
        <f>BF8*100/BF7</f>
        <v>#DIV/0!</v>
      </c>
      <c r="CN11" s="75"/>
      <c r="CO11" s="69"/>
      <c r="CP11" s="60"/>
      <c r="CQ11" s="31"/>
      <c r="CR11" s="83" t="s">
        <v>59</v>
      </c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5"/>
      <c r="DH11" s="85">
        <f>if(BF12&gt;=BI12,DH10+BO12,if(BF12&lt;BI12,DH10))-FE14</f>
        <v>0</v>
      </c>
      <c r="DI11" s="74"/>
      <c r="DJ11" s="75"/>
      <c r="DK11" s="31"/>
      <c r="DL11" s="92" t="s">
        <v>55</v>
      </c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5"/>
      <c r="DX11" s="116">
        <v>800.0</v>
      </c>
      <c r="DY11" s="75"/>
      <c r="DZ11" s="119"/>
      <c r="EA11" s="119"/>
      <c r="EB11" s="118"/>
      <c r="EC11" s="119"/>
      <c r="ED11" s="119"/>
      <c r="EE11" s="119"/>
      <c r="EF11" s="119"/>
      <c r="EG11" s="119"/>
      <c r="EH11" s="119"/>
      <c r="EI11" s="118"/>
      <c r="EJ11" s="118"/>
      <c r="EK11" s="119"/>
      <c r="EL11" s="118"/>
      <c r="EM11" s="118"/>
      <c r="EN11" s="118"/>
      <c r="EO11" s="118"/>
      <c r="EP11" s="118"/>
      <c r="EQ11" s="118"/>
      <c r="ER11" s="118"/>
      <c r="ES11" s="118"/>
      <c r="ET11" s="118"/>
      <c r="EU11" s="118"/>
      <c r="EV11" s="118"/>
      <c r="EW11" s="118"/>
      <c r="EX11" s="118"/>
      <c r="EY11" s="118"/>
      <c r="EZ11" s="118"/>
      <c r="FA11" s="118"/>
      <c r="FB11" s="118"/>
      <c r="FC11" s="118"/>
      <c r="FD11" s="118"/>
      <c r="FE11" s="107">
        <f t="shared" si="5"/>
        <v>0</v>
      </c>
      <c r="FF11" s="74"/>
      <c r="FG11" s="75"/>
      <c r="FH11" s="108"/>
      <c r="FI11" s="113">
        <f>SUM(FM11:HD11)</f>
        <v>1500</v>
      </c>
      <c r="FJ11" s="59"/>
      <c r="FK11" s="59"/>
      <c r="FL11" s="60"/>
      <c r="FM11" s="123">
        <f>(FM6*FM10)/100</f>
        <v>0</v>
      </c>
      <c r="FN11" s="74"/>
      <c r="FO11" s="75"/>
      <c r="FP11" s="124">
        <f>(FP6*FP10)/100</f>
        <v>0</v>
      </c>
      <c r="FQ11" s="74"/>
      <c r="FR11" s="75"/>
      <c r="FS11" s="124">
        <f>(FS6*FS10)/100</f>
        <v>0</v>
      </c>
      <c r="FT11" s="74"/>
      <c r="FU11" s="75"/>
      <c r="FV11" s="124">
        <f>(FV6*FV10)/100</f>
        <v>1500</v>
      </c>
      <c r="FW11" s="74"/>
      <c r="FX11" s="75"/>
      <c r="FY11" s="124">
        <f>(FY6*FY10)/100</f>
        <v>0</v>
      </c>
      <c r="FZ11" s="74"/>
      <c r="GA11" s="75"/>
      <c r="GB11" s="124">
        <f>(GB6*GB10)/100</f>
        <v>0</v>
      </c>
      <c r="GC11" s="74"/>
      <c r="GD11" s="75"/>
      <c r="GE11" s="124">
        <f>(GE6*GE10)/100</f>
        <v>0</v>
      </c>
      <c r="GF11" s="74"/>
      <c r="GG11" s="75"/>
      <c r="GH11" s="124">
        <f>(GH6*GH10)/100</f>
        <v>0</v>
      </c>
      <c r="GI11" s="74"/>
      <c r="GJ11" s="75"/>
      <c r="GK11" s="124">
        <f>(GK6*GK10)/100</f>
        <v>0</v>
      </c>
      <c r="GL11" s="74"/>
      <c r="GM11" s="75"/>
      <c r="GN11" s="124">
        <f>(GN6*GN10)/100</f>
        <v>0</v>
      </c>
      <c r="GO11" s="74"/>
      <c r="GP11" s="75"/>
      <c r="GQ11" s="124">
        <f>(GQ6*GQ10)/100</f>
        <v>0</v>
      </c>
      <c r="GR11" s="74"/>
      <c r="GS11" s="75"/>
      <c r="GT11" s="124">
        <f>(GT6*GT10)/100</f>
        <v>0</v>
      </c>
      <c r="GU11" s="74"/>
      <c r="GV11" s="75"/>
      <c r="GW11" s="124">
        <f>(GW6*GW10)/100</f>
        <v>0</v>
      </c>
      <c r="GX11" s="74"/>
      <c r="GY11" s="75"/>
      <c r="GZ11" s="124">
        <f>(GZ6*GZ10)/100</f>
        <v>0</v>
      </c>
      <c r="HA11" s="74"/>
      <c r="HB11" s="75"/>
      <c r="HC11" s="124">
        <f>(HC6*HC10)/100</f>
        <v>0</v>
      </c>
      <c r="HD11" s="74"/>
      <c r="HE11" s="75"/>
      <c r="HF11" s="359"/>
    </row>
    <row r="12" ht="15.0" customHeight="1">
      <c r="C12" s="92" t="s">
        <v>43</v>
      </c>
      <c r="D12" s="74"/>
      <c r="E12" s="74"/>
      <c r="F12" s="74"/>
      <c r="G12" s="74"/>
      <c r="H12" s="74"/>
      <c r="I12" s="74"/>
      <c r="J12" s="74"/>
      <c r="K12" s="74"/>
      <c r="L12" s="75"/>
      <c r="M12" s="111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358"/>
      <c r="Y12" s="358"/>
      <c r="Z12" s="112"/>
      <c r="AA12" s="112"/>
      <c r="AB12" s="358"/>
      <c r="AC12" s="358"/>
      <c r="AD12" s="111"/>
      <c r="AE12" s="112"/>
      <c r="AF12" s="112"/>
      <c r="AG12" s="358"/>
      <c r="AH12" s="111"/>
      <c r="AI12" s="112"/>
      <c r="AJ12" s="111"/>
      <c r="AK12" s="111"/>
      <c r="AL12" s="111"/>
      <c r="AM12" s="111"/>
      <c r="AN12" s="111"/>
      <c r="AO12" s="112"/>
      <c r="AP12" s="112"/>
      <c r="AQ12" s="112"/>
      <c r="AR12" s="31"/>
      <c r="AS12" s="77" t="s">
        <v>57</v>
      </c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5"/>
      <c r="BF12" s="80">
        <f>sum(BF11+'Евгений Ж.'!DH9)</f>
        <v>0</v>
      </c>
      <c r="BG12" s="74"/>
      <c r="BH12" s="75"/>
      <c r="BI12" s="128">
        <v>80000.0</v>
      </c>
      <c r="BJ12" s="74"/>
      <c r="BK12" s="75"/>
      <c r="BL12" s="130"/>
      <c r="BM12" s="74"/>
      <c r="BN12" s="75"/>
      <c r="BO12" s="80">
        <v>10000.0</v>
      </c>
      <c r="BP12" s="74"/>
      <c r="BQ12" s="75"/>
      <c r="BR12" s="131">
        <f>BF12*100/BI12</f>
        <v>0</v>
      </c>
      <c r="BS12" s="74"/>
      <c r="BT12" s="75"/>
      <c r="BU12" s="80">
        <f>(BI12-BF12)/'График'!AK4</f>
        <v>3478.26087</v>
      </c>
      <c r="BV12" s="74"/>
      <c r="BW12" s="75"/>
      <c r="BX12" s="31"/>
      <c r="BY12" s="83" t="s">
        <v>58</v>
      </c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5"/>
      <c r="CM12" s="81" t="str">
        <f>BF9*100/BF7</f>
        <v>#DIV/0!</v>
      </c>
      <c r="CN12" s="75"/>
      <c r="CO12" s="69"/>
      <c r="CP12" s="60"/>
      <c r="CQ12" s="31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9" t="s">
        <v>24</v>
      </c>
      <c r="DG12" s="75"/>
      <c r="DH12" s="140">
        <f>sum(DH11+DH8+DH9)</f>
        <v>0</v>
      </c>
      <c r="DI12" s="74"/>
      <c r="DJ12" s="75"/>
      <c r="DK12" s="31"/>
      <c r="DL12" s="92" t="s">
        <v>60</v>
      </c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5"/>
      <c r="DX12" s="116">
        <v>1500.0</v>
      </c>
      <c r="DY12" s="75"/>
      <c r="DZ12" s="118"/>
      <c r="EA12" s="118"/>
      <c r="EB12" s="118"/>
      <c r="EC12" s="118"/>
      <c r="ED12" s="118"/>
      <c r="EE12" s="118"/>
      <c r="EF12" s="118"/>
      <c r="EG12" s="119"/>
      <c r="EH12" s="119"/>
      <c r="EI12" s="118"/>
      <c r="EJ12" s="119"/>
      <c r="EK12" s="119"/>
      <c r="EL12" s="119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9"/>
      <c r="EZ12" s="118"/>
      <c r="FA12" s="118"/>
      <c r="FB12" s="118"/>
      <c r="FC12" s="118"/>
      <c r="FD12" s="118"/>
      <c r="FE12" s="107">
        <f t="shared" si="5"/>
        <v>0</v>
      </c>
      <c r="FF12" s="74"/>
      <c r="FG12" s="75"/>
      <c r="FH12" s="108"/>
      <c r="FI12" s="127" t="s">
        <v>56</v>
      </c>
      <c r="HF12" s="359"/>
    </row>
    <row r="13" ht="15.0" customHeight="1">
      <c r="C13" s="83" t="s">
        <v>48</v>
      </c>
      <c r="D13" s="74"/>
      <c r="E13" s="74"/>
      <c r="F13" s="74"/>
      <c r="G13" s="74"/>
      <c r="H13" s="74"/>
      <c r="I13" s="74"/>
      <c r="J13" s="74"/>
      <c r="K13" s="74"/>
      <c r="L13" s="75"/>
      <c r="M13" s="111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358"/>
      <c r="Y13" s="358"/>
      <c r="Z13" s="112"/>
      <c r="AA13" s="112"/>
      <c r="AB13" s="358"/>
      <c r="AC13" s="358"/>
      <c r="AD13" s="111"/>
      <c r="AE13" s="112"/>
      <c r="AF13" s="112"/>
      <c r="AG13" s="358"/>
      <c r="AH13" s="112"/>
      <c r="AI13" s="112"/>
      <c r="AJ13" s="111"/>
      <c r="AK13" s="111"/>
      <c r="AL13" s="111"/>
      <c r="AM13" s="111"/>
      <c r="AN13" s="111"/>
      <c r="AO13" s="112"/>
      <c r="AP13" s="112"/>
      <c r="AQ13" s="112"/>
      <c r="AR13" s="31"/>
      <c r="AS13" s="77" t="s">
        <v>70</v>
      </c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5"/>
      <c r="BF13" s="80">
        <f>BI11-BF11</f>
        <v>80000</v>
      </c>
      <c r="BG13" s="74"/>
      <c r="BH13" s="75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7"/>
      <c r="BW13" s="137"/>
      <c r="BX13" s="31"/>
      <c r="BY13" s="83" t="s">
        <v>71</v>
      </c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5"/>
      <c r="CM13" s="81" t="str">
        <f>BF9*100/BF8</f>
        <v>#DIV/0!</v>
      </c>
      <c r="CN13" s="75"/>
      <c r="CO13" s="69"/>
      <c r="CP13" s="60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83" t="s">
        <v>72</v>
      </c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5"/>
      <c r="DX13" s="116">
        <v>1000.0</v>
      </c>
      <c r="DY13" s="74"/>
      <c r="DZ13" s="141"/>
      <c r="EA13" s="142"/>
      <c r="EB13" s="141"/>
      <c r="EC13" s="141"/>
      <c r="ED13" s="141"/>
      <c r="EE13" s="141"/>
      <c r="EF13" s="142"/>
      <c r="EG13" s="141"/>
      <c r="EH13" s="141"/>
      <c r="EI13" s="141"/>
      <c r="EJ13" s="142"/>
      <c r="EK13" s="141"/>
      <c r="EL13" s="142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  <c r="EZ13" s="141"/>
      <c r="FA13" s="141"/>
      <c r="FB13" s="141"/>
      <c r="FC13" s="141"/>
      <c r="FD13" s="141"/>
      <c r="FE13" s="107">
        <f t="shared" si="5"/>
        <v>0</v>
      </c>
      <c r="FF13" s="74"/>
      <c r="FG13" s="75"/>
      <c r="FH13" s="108"/>
      <c r="FI13" s="132" t="s">
        <v>9</v>
      </c>
      <c r="FJ13" s="27"/>
      <c r="FK13" s="27"/>
      <c r="FL13" s="28"/>
      <c r="FM13" s="360" t="s">
        <v>69</v>
      </c>
      <c r="FN13" s="134"/>
      <c r="FO13" s="135"/>
      <c r="FP13" s="133" t="s">
        <v>132</v>
      </c>
      <c r="FQ13" s="134"/>
      <c r="FR13" s="135"/>
      <c r="FS13" s="133" t="s">
        <v>133</v>
      </c>
      <c r="FT13" s="134"/>
      <c r="FU13" s="135"/>
      <c r="FV13" s="133" t="s">
        <v>134</v>
      </c>
      <c r="FW13" s="134"/>
      <c r="FX13" s="135"/>
      <c r="FY13" s="133" t="s">
        <v>135</v>
      </c>
      <c r="FZ13" s="134"/>
      <c r="GA13" s="135"/>
      <c r="GB13" s="133" t="s">
        <v>136</v>
      </c>
      <c r="GC13" s="134"/>
      <c r="GD13" s="135"/>
      <c r="GE13" s="133" t="s">
        <v>137</v>
      </c>
      <c r="GF13" s="134"/>
      <c r="GG13" s="135"/>
      <c r="GH13" s="133" t="s">
        <v>138</v>
      </c>
      <c r="GI13" s="134"/>
      <c r="GJ13" s="135"/>
      <c r="GK13" s="133" t="s">
        <v>69</v>
      </c>
      <c r="GL13" s="134"/>
      <c r="GM13" s="135"/>
      <c r="GN13" s="133" t="s">
        <v>69</v>
      </c>
      <c r="GO13" s="134"/>
      <c r="GP13" s="135"/>
      <c r="GQ13" s="133" t="s">
        <v>69</v>
      </c>
      <c r="GR13" s="134"/>
      <c r="GS13" s="135"/>
      <c r="GT13" s="133" t="s">
        <v>69</v>
      </c>
      <c r="GU13" s="134"/>
      <c r="GV13" s="135"/>
      <c r="GW13" s="133" t="s">
        <v>69</v>
      </c>
      <c r="GX13" s="134"/>
      <c r="GY13" s="135"/>
      <c r="GZ13" s="133" t="s">
        <v>69</v>
      </c>
      <c r="HA13" s="134"/>
      <c r="HB13" s="135"/>
      <c r="HC13" s="133" t="s">
        <v>69</v>
      </c>
      <c r="HD13" s="134"/>
      <c r="HE13" s="135"/>
      <c r="HF13" s="359"/>
    </row>
    <row r="14" ht="15.0" customHeight="1">
      <c r="C14" s="143" t="s">
        <v>52</v>
      </c>
      <c r="D14" s="134"/>
      <c r="E14" s="134"/>
      <c r="F14" s="134"/>
      <c r="G14" s="134"/>
      <c r="H14" s="134"/>
      <c r="I14" s="134"/>
      <c r="J14" s="134"/>
      <c r="K14" s="134"/>
      <c r="L14" s="135"/>
      <c r="M14" s="144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361"/>
      <c r="Y14" s="361"/>
      <c r="Z14" s="145"/>
      <c r="AA14" s="144"/>
      <c r="AB14" s="361"/>
      <c r="AC14" s="145"/>
      <c r="AD14" s="144"/>
      <c r="AE14" s="145"/>
      <c r="AF14" s="145"/>
      <c r="AG14" s="361"/>
      <c r="AH14" s="145"/>
      <c r="AI14" s="145"/>
      <c r="AJ14" s="145"/>
      <c r="AK14" s="145"/>
      <c r="AL14" s="145"/>
      <c r="AM14" s="144"/>
      <c r="AN14" s="145"/>
      <c r="AO14" s="145"/>
      <c r="AP14" s="145"/>
      <c r="AQ14" s="144"/>
      <c r="AR14" s="31"/>
      <c r="AS14" s="77" t="s">
        <v>73</v>
      </c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5"/>
      <c r="BF14" s="80" t="str">
        <f>BF11/BF9</f>
        <v>#DIV/0!</v>
      </c>
      <c r="BG14" s="74"/>
      <c r="BH14" s="75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146"/>
      <c r="CN14" s="146"/>
      <c r="CO14" s="362"/>
      <c r="CP14" s="362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36"/>
      <c r="EY14" s="136"/>
      <c r="EZ14" s="136"/>
      <c r="FA14" s="136"/>
      <c r="FB14" s="136"/>
      <c r="FC14" s="150" t="s">
        <v>24</v>
      </c>
      <c r="FD14" s="75"/>
      <c r="FE14" s="151">
        <f>sum(FE8:FE13)</f>
        <v>0</v>
      </c>
      <c r="FF14" s="74"/>
      <c r="FG14" s="75"/>
      <c r="FH14" s="152"/>
      <c r="FI14" s="57"/>
      <c r="FJ14" s="39"/>
      <c r="FK14" s="39"/>
      <c r="FL14" s="40"/>
      <c r="FM14" s="59"/>
      <c r="FN14" s="59"/>
      <c r="FO14" s="60"/>
      <c r="FP14" s="58"/>
      <c r="FQ14" s="59"/>
      <c r="FR14" s="60"/>
      <c r="FS14" s="58"/>
      <c r="FT14" s="59"/>
      <c r="FU14" s="60"/>
      <c r="FV14" s="58"/>
      <c r="FW14" s="59"/>
      <c r="FX14" s="60"/>
      <c r="FY14" s="58"/>
      <c r="FZ14" s="59"/>
      <c r="GA14" s="60"/>
      <c r="GB14" s="58"/>
      <c r="GC14" s="59"/>
      <c r="GD14" s="60"/>
      <c r="GE14" s="58"/>
      <c r="GF14" s="59"/>
      <c r="GG14" s="60"/>
      <c r="GH14" s="58"/>
      <c r="GI14" s="59"/>
      <c r="GJ14" s="60"/>
      <c r="GK14" s="58"/>
      <c r="GL14" s="59"/>
      <c r="GM14" s="60"/>
      <c r="GN14" s="58"/>
      <c r="GO14" s="59"/>
      <c r="GP14" s="60"/>
      <c r="GQ14" s="58"/>
      <c r="GR14" s="59"/>
      <c r="GS14" s="60"/>
      <c r="GT14" s="58"/>
      <c r="GU14" s="59"/>
      <c r="GV14" s="60"/>
      <c r="GW14" s="58"/>
      <c r="GX14" s="59"/>
      <c r="GY14" s="60"/>
      <c r="GZ14" s="58"/>
      <c r="HA14" s="59"/>
      <c r="HB14" s="60"/>
      <c r="HC14" s="58"/>
      <c r="HD14" s="59"/>
      <c r="HE14" s="60"/>
      <c r="HF14" s="363"/>
    </row>
    <row r="15" ht="15.0" customHeight="1">
      <c r="C15" s="153"/>
      <c r="L15" s="35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31"/>
      <c r="AS15" s="77" t="s">
        <v>74</v>
      </c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5"/>
      <c r="BF15" s="78"/>
      <c r="BG15" s="74"/>
      <c r="BH15" s="75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146"/>
      <c r="CN15" s="146"/>
      <c r="CO15" s="362"/>
      <c r="CP15" s="362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148"/>
      <c r="EP15" s="148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157"/>
      <c r="FF15" s="158"/>
      <c r="FG15" s="31"/>
      <c r="FH15" s="31"/>
      <c r="FI15" s="72" t="s">
        <v>21</v>
      </c>
      <c r="FJ15" s="27"/>
      <c r="FK15" s="27"/>
      <c r="FL15" s="28"/>
      <c r="FM15" s="155">
        <v>2000.0</v>
      </c>
      <c r="FN15" s="74"/>
      <c r="FO15" s="75"/>
      <c r="FP15" s="156">
        <v>1000.0</v>
      </c>
      <c r="FQ15" s="74"/>
      <c r="FR15" s="75"/>
      <c r="FS15" s="156">
        <v>5000.0</v>
      </c>
      <c r="FT15" s="74"/>
      <c r="FU15" s="75"/>
      <c r="FV15" s="156">
        <v>1000.0</v>
      </c>
      <c r="FW15" s="74"/>
      <c r="FX15" s="75"/>
      <c r="FY15" s="156">
        <v>1000.0</v>
      </c>
      <c r="FZ15" s="74"/>
      <c r="GA15" s="75"/>
      <c r="GB15" s="156">
        <v>2000.0</v>
      </c>
      <c r="GC15" s="74"/>
      <c r="GD15" s="75"/>
      <c r="GE15" s="156">
        <v>1000.0</v>
      </c>
      <c r="GF15" s="74"/>
      <c r="GG15" s="75"/>
      <c r="GH15" s="156">
        <v>3000.0</v>
      </c>
      <c r="GI15" s="74"/>
      <c r="GJ15" s="75"/>
      <c r="GK15" s="156"/>
      <c r="GL15" s="74"/>
      <c r="GM15" s="75"/>
      <c r="GN15" s="156"/>
      <c r="GO15" s="74"/>
      <c r="GP15" s="75"/>
      <c r="GQ15" s="156"/>
      <c r="GR15" s="74"/>
      <c r="GS15" s="75"/>
      <c r="GT15" s="156"/>
      <c r="GU15" s="74"/>
      <c r="GV15" s="75"/>
      <c r="GW15" s="156"/>
      <c r="GX15" s="74"/>
      <c r="GY15" s="75"/>
      <c r="GZ15" s="156"/>
      <c r="HA15" s="74"/>
      <c r="HB15" s="75"/>
      <c r="HC15" s="156"/>
      <c r="HD15" s="74"/>
      <c r="HE15" s="75"/>
      <c r="HF15" s="364"/>
    </row>
    <row r="16" ht="15.0" customHeight="1">
      <c r="C16" s="153"/>
      <c r="L16" s="35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31"/>
      <c r="AS16" s="77" t="s">
        <v>75</v>
      </c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5"/>
      <c r="BF16" s="80"/>
      <c r="BG16" s="74"/>
      <c r="BH16" s="75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146"/>
      <c r="CN16" s="146"/>
      <c r="CO16" s="362"/>
      <c r="CP16" s="362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148"/>
      <c r="EP16" s="148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157"/>
      <c r="FF16" s="158"/>
      <c r="FG16" s="31"/>
      <c r="FH16" s="31"/>
      <c r="FI16" s="159">
        <v>20.0</v>
      </c>
      <c r="FJ16" s="5"/>
      <c r="FK16" s="5"/>
      <c r="FL16" s="160" t="s">
        <v>37</v>
      </c>
      <c r="FM16" s="161">
        <f>FM15*FI16/100</f>
        <v>400</v>
      </c>
      <c r="FN16" s="74"/>
      <c r="FO16" s="75"/>
      <c r="FP16" s="161">
        <f>FP15*FI16/100</f>
        <v>200</v>
      </c>
      <c r="FQ16" s="74"/>
      <c r="FR16" s="75"/>
      <c r="FS16" s="161">
        <f>FS15*FI16/100</f>
        <v>1000</v>
      </c>
      <c r="FT16" s="74"/>
      <c r="FU16" s="75"/>
      <c r="FV16" s="161">
        <f>FV15*FI16/100</f>
        <v>200</v>
      </c>
      <c r="FW16" s="74"/>
      <c r="FX16" s="75"/>
      <c r="FY16" s="161">
        <f>FY15*FI16/100</f>
        <v>200</v>
      </c>
      <c r="FZ16" s="74"/>
      <c r="GA16" s="75"/>
      <c r="GB16" s="161">
        <f>GB15*FI16/100</f>
        <v>400</v>
      </c>
      <c r="GC16" s="74"/>
      <c r="GD16" s="75"/>
      <c r="GE16" s="161">
        <f>GE15*FI16/100</f>
        <v>200</v>
      </c>
      <c r="GF16" s="74"/>
      <c r="GG16" s="75"/>
      <c r="GH16" s="161">
        <f>GH15*FI16/100</f>
        <v>600</v>
      </c>
      <c r="GI16" s="74"/>
      <c r="GJ16" s="75"/>
      <c r="GK16" s="161">
        <f>GK15*FI16/100</f>
        <v>0</v>
      </c>
      <c r="GL16" s="74"/>
      <c r="GM16" s="75"/>
      <c r="GN16" s="161">
        <f>GN15*FI16/100</f>
        <v>0</v>
      </c>
      <c r="GO16" s="74"/>
      <c r="GP16" s="75"/>
      <c r="GQ16" s="161">
        <f>GQ15*FI16/100</f>
        <v>0</v>
      </c>
      <c r="GR16" s="74"/>
      <c r="GS16" s="75"/>
      <c r="GT16" s="161">
        <f>GT15*FI16/100</f>
        <v>0</v>
      </c>
      <c r="GU16" s="74"/>
      <c r="GV16" s="75"/>
      <c r="GW16" s="161">
        <f>GW15*FI16/100</f>
        <v>0</v>
      </c>
      <c r="GX16" s="74"/>
      <c r="GY16" s="75"/>
      <c r="GZ16" s="161">
        <f>GZ15*FI16/100</f>
        <v>0</v>
      </c>
      <c r="HA16" s="74"/>
      <c r="HB16" s="75"/>
      <c r="HC16" s="161">
        <f>HC15*FI16/100</f>
        <v>0</v>
      </c>
      <c r="HD16" s="74"/>
      <c r="HE16" s="75"/>
      <c r="HF16" s="365"/>
    </row>
    <row r="17" ht="15.0" customHeight="1">
      <c r="C17" s="58"/>
      <c r="D17" s="59"/>
      <c r="E17" s="59"/>
      <c r="F17" s="59"/>
      <c r="G17" s="59"/>
      <c r="H17" s="59"/>
      <c r="I17" s="59"/>
      <c r="J17" s="59"/>
      <c r="K17" s="59"/>
      <c r="L17" s="60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31"/>
      <c r="AS17" s="77" t="s">
        <v>76</v>
      </c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5"/>
      <c r="BF17" s="82" t="str">
        <f>(BF9/BF10)</f>
        <v>#DIV/0!</v>
      </c>
      <c r="BG17" s="74"/>
      <c r="BH17" s="75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146"/>
      <c r="CN17" s="146"/>
      <c r="CO17" s="362"/>
      <c r="CP17" s="362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148"/>
      <c r="EP17" s="148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157"/>
      <c r="FF17" s="158"/>
      <c r="FG17" s="31"/>
      <c r="FH17" s="31"/>
      <c r="FI17" s="366"/>
      <c r="FJ17" s="366"/>
      <c r="FK17" s="366"/>
      <c r="FL17" s="366"/>
      <c r="FM17" s="366"/>
      <c r="FN17" s="366"/>
      <c r="FO17" s="366"/>
      <c r="FP17" s="366"/>
      <c r="FQ17" s="366"/>
      <c r="FR17" s="366"/>
      <c r="FS17" s="366"/>
      <c r="FT17" s="366"/>
      <c r="FU17" s="366"/>
      <c r="FV17" s="366"/>
      <c r="FW17" s="366"/>
      <c r="FX17" s="366"/>
      <c r="FY17" s="366"/>
      <c r="FZ17" s="366"/>
      <c r="GA17" s="366"/>
      <c r="GB17" s="366"/>
      <c r="GC17" s="366"/>
      <c r="GD17" s="366"/>
      <c r="GE17" s="366"/>
      <c r="GF17" s="366"/>
      <c r="GG17" s="366"/>
      <c r="GH17" s="366"/>
      <c r="GI17" s="366"/>
      <c r="GJ17" s="366"/>
      <c r="GK17" s="366"/>
      <c r="GL17" s="366"/>
      <c r="GM17" s="366"/>
      <c r="GN17" s="366"/>
      <c r="GO17" s="366"/>
      <c r="GP17" s="366"/>
      <c r="GQ17" s="366"/>
      <c r="GR17" s="366"/>
      <c r="GS17" s="366"/>
      <c r="GT17" s="366"/>
      <c r="GU17" s="366"/>
      <c r="GV17" s="366"/>
      <c r="GW17" s="366"/>
      <c r="GX17" s="366"/>
      <c r="GY17" s="366"/>
      <c r="GZ17" s="366"/>
      <c r="HA17" s="366"/>
      <c r="HB17" s="366"/>
      <c r="HC17" s="366"/>
      <c r="HD17" s="366"/>
      <c r="HE17" s="366"/>
      <c r="HF17" s="364"/>
    </row>
    <row r="18" ht="15.0" customHeight="1">
      <c r="A18" s="367"/>
      <c r="B18" s="367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146"/>
      <c r="CN18" s="146"/>
      <c r="CO18" s="368"/>
      <c r="CP18" s="368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148"/>
      <c r="EP18" s="148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157"/>
      <c r="FF18" s="158"/>
      <c r="FG18" s="31"/>
      <c r="FH18" s="31"/>
      <c r="FI18" s="170"/>
      <c r="FJ18" s="148"/>
      <c r="FK18" s="148"/>
      <c r="FL18" s="148"/>
      <c r="FM18" s="171"/>
      <c r="FN18" s="148"/>
      <c r="FO18" s="148"/>
      <c r="FP18" s="171"/>
      <c r="FQ18" s="148"/>
      <c r="FR18" s="148"/>
      <c r="FS18" s="171"/>
      <c r="FT18" s="148"/>
      <c r="FU18" s="148"/>
      <c r="FV18" s="171"/>
      <c r="FW18" s="148"/>
      <c r="FX18" s="148"/>
      <c r="FY18" s="171"/>
      <c r="FZ18" s="148"/>
      <c r="GA18" s="148"/>
      <c r="GB18" s="171"/>
      <c r="GC18" s="148"/>
      <c r="GD18" s="148"/>
      <c r="GE18" s="171"/>
      <c r="GF18" s="148"/>
      <c r="GG18" s="148"/>
      <c r="GH18" s="171"/>
      <c r="GI18" s="148"/>
      <c r="GJ18" s="148"/>
      <c r="GK18" s="171"/>
      <c r="GL18" s="148"/>
      <c r="GM18" s="148"/>
      <c r="GN18" s="171"/>
      <c r="GO18" s="148"/>
      <c r="GP18" s="148"/>
      <c r="GQ18" s="171"/>
      <c r="GR18" s="148"/>
      <c r="GS18" s="148"/>
      <c r="GT18" s="171"/>
      <c r="GU18" s="148"/>
      <c r="GV18" s="148"/>
      <c r="GW18" s="171"/>
      <c r="GX18" s="148"/>
      <c r="GY18" s="148"/>
      <c r="GZ18" s="171"/>
      <c r="HA18" s="148"/>
      <c r="HB18" s="148"/>
      <c r="HC18" s="171"/>
      <c r="HD18" s="148"/>
      <c r="HE18" s="148"/>
      <c r="HF18" s="148"/>
    </row>
    <row r="19" ht="15.0" customHeight="1">
      <c r="A19" s="369"/>
      <c r="B19" s="369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  <c r="BA19" s="370"/>
      <c r="BB19" s="370"/>
      <c r="BC19" s="370"/>
      <c r="BD19" s="370"/>
      <c r="BE19" s="370"/>
      <c r="BF19" s="370"/>
      <c r="BG19" s="370"/>
      <c r="BH19" s="370"/>
      <c r="BI19" s="370"/>
      <c r="BJ19" s="370"/>
      <c r="BK19" s="370"/>
      <c r="BL19" s="370"/>
      <c r="BM19" s="370"/>
      <c r="BN19" s="370"/>
      <c r="BO19" s="370"/>
      <c r="BP19" s="370"/>
      <c r="BQ19" s="370"/>
      <c r="BR19" s="370"/>
      <c r="BS19" s="370"/>
      <c r="BT19" s="370"/>
      <c r="BU19" s="370"/>
      <c r="BV19" s="370"/>
      <c r="BW19" s="370"/>
      <c r="BX19" s="370"/>
      <c r="BY19" s="370"/>
      <c r="BZ19" s="370"/>
      <c r="CA19" s="370"/>
      <c r="CB19" s="370"/>
      <c r="CC19" s="370"/>
      <c r="CD19" s="370"/>
      <c r="CE19" s="370"/>
      <c r="CF19" s="370"/>
      <c r="CG19" s="370"/>
      <c r="CH19" s="370"/>
      <c r="CI19" s="370"/>
      <c r="CJ19" s="370"/>
      <c r="CK19" s="370"/>
      <c r="CL19" s="370"/>
      <c r="CM19" s="371"/>
      <c r="CN19" s="371"/>
      <c r="CO19" s="372"/>
      <c r="CP19" s="372"/>
      <c r="CQ19" s="370"/>
      <c r="CR19" s="370"/>
      <c r="CS19" s="370"/>
      <c r="CT19" s="370"/>
      <c r="CU19" s="370"/>
      <c r="CV19" s="370"/>
      <c r="CW19" s="370"/>
      <c r="CX19" s="370"/>
      <c r="CY19" s="370"/>
      <c r="CZ19" s="370"/>
      <c r="DA19" s="370"/>
      <c r="DB19" s="370"/>
      <c r="DC19" s="370"/>
      <c r="DD19" s="370"/>
      <c r="DE19" s="370"/>
      <c r="DF19" s="370"/>
      <c r="DG19" s="370"/>
      <c r="DH19" s="370"/>
      <c r="DI19" s="370"/>
      <c r="DJ19" s="370"/>
      <c r="DK19" s="370"/>
      <c r="DL19" s="370"/>
      <c r="DM19" s="370"/>
      <c r="DN19" s="370"/>
      <c r="DO19" s="370"/>
      <c r="DP19" s="370"/>
      <c r="DQ19" s="370"/>
      <c r="DR19" s="370"/>
      <c r="DS19" s="370"/>
      <c r="DT19" s="370"/>
      <c r="DU19" s="370"/>
      <c r="DV19" s="370"/>
      <c r="DW19" s="370"/>
      <c r="DX19" s="370"/>
      <c r="DY19" s="370"/>
      <c r="DZ19" s="370"/>
      <c r="EA19" s="370"/>
      <c r="EB19" s="370"/>
      <c r="EC19" s="370"/>
      <c r="ED19" s="370"/>
      <c r="EE19" s="370"/>
      <c r="EF19" s="370"/>
      <c r="EG19" s="370"/>
      <c r="EH19" s="370"/>
      <c r="EI19" s="370"/>
      <c r="EJ19" s="370"/>
      <c r="EK19" s="370"/>
      <c r="EL19" s="370"/>
      <c r="EM19" s="370"/>
      <c r="EN19" s="370"/>
      <c r="EO19" s="370"/>
      <c r="EP19" s="370"/>
      <c r="EQ19" s="370"/>
      <c r="ER19" s="370"/>
      <c r="ES19" s="370"/>
      <c r="ET19" s="370"/>
      <c r="EU19" s="370"/>
      <c r="EV19" s="370"/>
      <c r="EW19" s="370"/>
      <c r="EX19" s="370"/>
      <c r="EY19" s="370"/>
      <c r="EZ19" s="370"/>
      <c r="FA19" s="370"/>
      <c r="FB19" s="370"/>
      <c r="FC19" s="370"/>
      <c r="FD19" s="370"/>
      <c r="FE19" s="373"/>
      <c r="FF19" s="374"/>
      <c r="FG19" s="370"/>
      <c r="FH19" s="370"/>
      <c r="FI19" s="370"/>
      <c r="FJ19" s="370"/>
      <c r="FK19" s="370"/>
      <c r="FL19" s="370"/>
      <c r="FM19" s="375"/>
      <c r="FN19" s="370"/>
      <c r="FO19" s="370"/>
      <c r="FP19" s="375"/>
      <c r="FQ19" s="370"/>
      <c r="FR19" s="370"/>
      <c r="FS19" s="375"/>
      <c r="FT19" s="370"/>
      <c r="FU19" s="370"/>
      <c r="FV19" s="375"/>
      <c r="FW19" s="370"/>
      <c r="FX19" s="370"/>
      <c r="FY19" s="375"/>
      <c r="FZ19" s="370"/>
      <c r="GA19" s="370"/>
      <c r="GB19" s="375"/>
      <c r="GC19" s="370"/>
      <c r="GD19" s="370"/>
      <c r="GE19" s="375"/>
      <c r="GF19" s="370"/>
      <c r="GG19" s="370"/>
      <c r="GH19" s="375"/>
      <c r="GI19" s="370"/>
      <c r="GJ19" s="370"/>
      <c r="GK19" s="375"/>
      <c r="GL19" s="370"/>
      <c r="GM19" s="370"/>
      <c r="GN19" s="375"/>
      <c r="GO19" s="370"/>
      <c r="GP19" s="370"/>
      <c r="GQ19" s="375"/>
      <c r="GR19" s="370"/>
      <c r="GS19" s="370"/>
      <c r="GT19" s="375"/>
      <c r="GU19" s="370"/>
      <c r="GV19" s="370"/>
      <c r="GW19" s="375"/>
      <c r="GX19" s="370"/>
      <c r="GY19" s="370"/>
      <c r="GZ19" s="375"/>
      <c r="HA19" s="370"/>
      <c r="HB19" s="370"/>
      <c r="HC19" s="375"/>
      <c r="HD19" s="370"/>
      <c r="HE19" s="370"/>
      <c r="HF19" s="370"/>
    </row>
    <row r="20" ht="15.0" customHeight="1">
      <c r="A20" s="376"/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7"/>
      <c r="AQ20" s="377"/>
      <c r="AR20" s="377"/>
      <c r="AS20" s="377"/>
      <c r="AT20" s="377"/>
      <c r="AU20" s="377"/>
      <c r="AV20" s="377"/>
      <c r="AW20" s="377"/>
      <c r="AX20" s="377"/>
      <c r="AY20" s="377"/>
      <c r="AZ20" s="377"/>
      <c r="BA20" s="377"/>
      <c r="BB20" s="377"/>
      <c r="BC20" s="377"/>
      <c r="BD20" s="377"/>
      <c r="BE20" s="377"/>
      <c r="BF20" s="377"/>
      <c r="BG20" s="377"/>
      <c r="BH20" s="377"/>
      <c r="BI20" s="377"/>
      <c r="BJ20" s="377"/>
      <c r="BK20" s="377"/>
      <c r="BL20" s="377"/>
      <c r="BM20" s="377"/>
      <c r="BN20" s="377"/>
      <c r="BO20" s="377"/>
      <c r="BP20" s="377"/>
      <c r="BQ20" s="377"/>
      <c r="BR20" s="377"/>
      <c r="BS20" s="377"/>
      <c r="BT20" s="377"/>
      <c r="BU20" s="377"/>
      <c r="BV20" s="377"/>
      <c r="BW20" s="377"/>
      <c r="BX20" s="377"/>
      <c r="BY20" s="377"/>
      <c r="BZ20" s="377"/>
      <c r="CA20" s="377"/>
      <c r="CB20" s="377"/>
      <c r="CC20" s="377"/>
      <c r="CD20" s="377"/>
      <c r="CE20" s="377"/>
      <c r="CF20" s="377"/>
      <c r="CG20" s="377"/>
      <c r="CH20" s="377"/>
      <c r="CI20" s="377"/>
      <c r="CJ20" s="377"/>
      <c r="CK20" s="377"/>
      <c r="CL20" s="377"/>
      <c r="CM20" s="378"/>
      <c r="CN20" s="378"/>
      <c r="CO20" s="362"/>
      <c r="CP20" s="362"/>
      <c r="CQ20" s="377"/>
      <c r="CR20" s="377"/>
      <c r="CS20" s="377"/>
      <c r="CT20" s="377"/>
      <c r="CU20" s="377"/>
      <c r="CV20" s="377"/>
      <c r="CW20" s="377"/>
      <c r="CX20" s="377"/>
      <c r="CY20" s="377"/>
      <c r="CZ20" s="377"/>
      <c r="DA20" s="377"/>
      <c r="DB20" s="377"/>
      <c r="DC20" s="377"/>
      <c r="DD20" s="377"/>
      <c r="DE20" s="377"/>
      <c r="DF20" s="377"/>
      <c r="DG20" s="377"/>
      <c r="DH20" s="377"/>
      <c r="DI20" s="377"/>
      <c r="DJ20" s="377"/>
      <c r="DK20" s="377"/>
      <c r="DL20" s="377"/>
      <c r="DM20" s="377"/>
      <c r="DN20" s="377"/>
      <c r="DO20" s="377"/>
      <c r="DP20" s="377"/>
      <c r="DQ20" s="377"/>
      <c r="DR20" s="377"/>
      <c r="DS20" s="377"/>
      <c r="DT20" s="377"/>
      <c r="DU20" s="377"/>
      <c r="DV20" s="377"/>
      <c r="DW20" s="377"/>
      <c r="DX20" s="377"/>
      <c r="DY20" s="377"/>
      <c r="DZ20" s="377"/>
      <c r="EA20" s="377"/>
      <c r="EB20" s="377"/>
      <c r="EC20" s="377"/>
      <c r="ED20" s="377"/>
      <c r="EE20" s="377"/>
      <c r="EF20" s="377"/>
      <c r="EG20" s="377"/>
      <c r="EH20" s="377"/>
      <c r="EI20" s="377"/>
      <c r="EJ20" s="377"/>
      <c r="EK20" s="377"/>
      <c r="EL20" s="377"/>
      <c r="EM20" s="377"/>
      <c r="EN20" s="377"/>
      <c r="EO20" s="377"/>
      <c r="EP20" s="377"/>
      <c r="EQ20" s="377"/>
      <c r="ER20" s="377"/>
      <c r="ES20" s="377"/>
      <c r="ET20" s="377"/>
      <c r="EU20" s="377"/>
      <c r="EV20" s="377"/>
      <c r="EW20" s="377"/>
      <c r="EX20" s="377"/>
      <c r="EY20" s="377"/>
      <c r="EZ20" s="377"/>
      <c r="FA20" s="377"/>
      <c r="FB20" s="377"/>
      <c r="FC20" s="377"/>
      <c r="FD20" s="377"/>
      <c r="FE20" s="379"/>
      <c r="FF20" s="379"/>
      <c r="FG20" s="377"/>
      <c r="FH20" s="377"/>
      <c r="FI20" s="380"/>
      <c r="FJ20" s="381"/>
      <c r="FK20" s="381"/>
      <c r="FL20" s="381"/>
      <c r="FM20" s="380"/>
      <c r="FN20" s="381"/>
      <c r="FO20" s="381"/>
      <c r="FP20" s="380"/>
      <c r="FQ20" s="381"/>
      <c r="FR20" s="381"/>
      <c r="FS20" s="380"/>
      <c r="FT20" s="381"/>
      <c r="FU20" s="381"/>
      <c r="FV20" s="380"/>
      <c r="FW20" s="381"/>
      <c r="FX20" s="381"/>
      <c r="FY20" s="380"/>
      <c r="FZ20" s="381"/>
      <c r="GA20" s="381"/>
      <c r="GB20" s="380"/>
      <c r="GC20" s="381"/>
      <c r="GD20" s="381"/>
      <c r="GE20" s="380"/>
      <c r="GF20" s="381"/>
      <c r="GG20" s="381"/>
      <c r="GH20" s="380"/>
      <c r="GI20" s="381"/>
      <c r="GJ20" s="381"/>
      <c r="GK20" s="380"/>
      <c r="GL20" s="381"/>
      <c r="GM20" s="381"/>
      <c r="GN20" s="380"/>
      <c r="GO20" s="381"/>
      <c r="GP20" s="381"/>
      <c r="GQ20" s="380"/>
      <c r="GR20" s="381"/>
      <c r="GS20" s="381"/>
      <c r="GT20" s="380"/>
      <c r="GU20" s="381"/>
      <c r="GV20" s="381"/>
      <c r="GW20" s="380"/>
      <c r="GX20" s="381"/>
      <c r="GY20" s="381"/>
      <c r="GZ20" s="380"/>
      <c r="HA20" s="381"/>
      <c r="HB20" s="381"/>
      <c r="HC20" s="380"/>
      <c r="HD20" s="381"/>
      <c r="HE20" s="381"/>
      <c r="HF20" s="381"/>
    </row>
    <row r="21" ht="15.0" customHeight="1">
      <c r="A21" s="382"/>
      <c r="B21" s="382"/>
      <c r="C21" s="192" t="s">
        <v>0</v>
      </c>
      <c r="AR21" s="193"/>
      <c r="AS21" s="195" t="s">
        <v>2</v>
      </c>
      <c r="BX21" s="193"/>
      <c r="BY21" s="192" t="s">
        <v>3</v>
      </c>
      <c r="CQ21" s="193"/>
      <c r="CR21" s="192" t="s">
        <v>4</v>
      </c>
      <c r="DK21" s="193"/>
      <c r="DL21" s="195" t="s">
        <v>139</v>
      </c>
      <c r="FE21" s="196"/>
      <c r="FF21" s="196"/>
      <c r="FG21" s="197"/>
      <c r="FH21" s="198"/>
      <c r="FI21" s="194" t="s">
        <v>1</v>
      </c>
      <c r="HF21" s="383"/>
    </row>
    <row r="22" ht="15.0" customHeight="1">
      <c r="A22" s="355" t="s">
        <v>140</v>
      </c>
      <c r="C22" s="26" t="s">
        <v>7</v>
      </c>
      <c r="D22" s="27"/>
      <c r="E22" s="27"/>
      <c r="F22" s="27"/>
      <c r="G22" s="27"/>
      <c r="H22" s="27"/>
      <c r="I22" s="27"/>
      <c r="J22" s="27"/>
      <c r="K22" s="28"/>
      <c r="L22" s="29" t="s">
        <v>8</v>
      </c>
      <c r="M22" s="30">
        <v>44197.0</v>
      </c>
      <c r="N22" s="30">
        <v>44198.0</v>
      </c>
      <c r="O22" s="30">
        <v>44199.0</v>
      </c>
      <c r="P22" s="30">
        <v>44200.0</v>
      </c>
      <c r="Q22" s="30">
        <v>44201.0</v>
      </c>
      <c r="R22" s="30">
        <v>44202.0</v>
      </c>
      <c r="S22" s="30">
        <v>44203.0</v>
      </c>
      <c r="T22" s="30">
        <v>44204.0</v>
      </c>
      <c r="U22" s="30">
        <v>44205.0</v>
      </c>
      <c r="V22" s="30">
        <v>44206.0</v>
      </c>
      <c r="W22" s="30">
        <v>44207.0</v>
      </c>
      <c r="X22" s="30">
        <v>44208.0</v>
      </c>
      <c r="Y22" s="30">
        <v>44209.0</v>
      </c>
      <c r="Z22" s="30">
        <v>44210.0</v>
      </c>
      <c r="AA22" s="30">
        <v>44211.0</v>
      </c>
      <c r="AB22" s="30">
        <v>44212.0</v>
      </c>
      <c r="AC22" s="30">
        <v>44213.0</v>
      </c>
      <c r="AD22" s="30">
        <v>44214.0</v>
      </c>
      <c r="AE22" s="30">
        <v>44215.0</v>
      </c>
      <c r="AF22" s="30">
        <v>44216.0</v>
      </c>
      <c r="AG22" s="30">
        <v>44217.0</v>
      </c>
      <c r="AH22" s="30">
        <v>44218.0</v>
      </c>
      <c r="AI22" s="30">
        <v>44219.0</v>
      </c>
      <c r="AJ22" s="30">
        <v>44220.0</v>
      </c>
      <c r="AK22" s="30">
        <v>44221.0</v>
      </c>
      <c r="AL22" s="30">
        <v>44222.0</v>
      </c>
      <c r="AM22" s="30">
        <v>44223.0</v>
      </c>
      <c r="AN22" s="30">
        <v>44224.0</v>
      </c>
      <c r="AO22" s="30">
        <v>44225.0</v>
      </c>
      <c r="AP22" s="30">
        <v>44226.0</v>
      </c>
      <c r="AQ22" s="30">
        <v>44227.0</v>
      </c>
      <c r="AR22" s="31"/>
      <c r="AS22" s="201" t="s">
        <v>11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6"/>
      <c r="BF22" s="202" t="s">
        <v>12</v>
      </c>
      <c r="BG22" s="5"/>
      <c r="BH22" s="6"/>
      <c r="BI22" s="202" t="s">
        <v>13</v>
      </c>
      <c r="BJ22" s="5"/>
      <c r="BK22" s="6"/>
      <c r="BL22" s="204" t="s">
        <v>15</v>
      </c>
      <c r="BM22" s="5"/>
      <c r="BN22" s="6"/>
      <c r="BO22" s="203" t="s">
        <v>14</v>
      </c>
      <c r="BP22" s="5"/>
      <c r="BQ22" s="6"/>
      <c r="BR22" s="203" t="s">
        <v>16</v>
      </c>
      <c r="BS22" s="5"/>
      <c r="BT22" s="6"/>
      <c r="BU22" s="205" t="s">
        <v>17</v>
      </c>
      <c r="BV22" s="5"/>
      <c r="BW22" s="6"/>
      <c r="BX22" s="31"/>
      <c r="BY22" s="206" t="s">
        <v>18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6"/>
      <c r="CM22" s="207" t="s">
        <v>12</v>
      </c>
      <c r="CN22" s="6"/>
      <c r="CO22" s="208" t="s">
        <v>19</v>
      </c>
      <c r="CP22" s="6"/>
      <c r="CQ22" s="31"/>
      <c r="CR22" s="206" t="s">
        <v>20</v>
      </c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6"/>
      <c r="DH22" s="209" t="s">
        <v>21</v>
      </c>
      <c r="DI22" s="5"/>
      <c r="DJ22" s="6"/>
      <c r="DK22" s="31"/>
      <c r="DL22" s="49" t="s">
        <v>22</v>
      </c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8"/>
      <c r="DX22" s="50" t="s">
        <v>23</v>
      </c>
      <c r="DY22" s="28"/>
      <c r="DZ22" s="210">
        <v>44317.0</v>
      </c>
      <c r="EA22" s="210">
        <v>44318.0</v>
      </c>
      <c r="EB22" s="210">
        <v>44319.0</v>
      </c>
      <c r="EC22" s="210">
        <v>44320.0</v>
      </c>
      <c r="ED22" s="210">
        <v>44321.0</v>
      </c>
      <c r="EE22" s="210">
        <v>44322.0</v>
      </c>
      <c r="EF22" s="210">
        <v>44323.0</v>
      </c>
      <c r="EG22" s="210">
        <v>44324.0</v>
      </c>
      <c r="EH22" s="210">
        <v>44325.0</v>
      </c>
      <c r="EI22" s="210">
        <v>44326.0</v>
      </c>
      <c r="EJ22" s="210">
        <v>44327.0</v>
      </c>
      <c r="EK22" s="210">
        <v>44328.0</v>
      </c>
      <c r="EL22" s="210">
        <v>44329.0</v>
      </c>
      <c r="EM22" s="210">
        <v>44330.0</v>
      </c>
      <c r="EN22" s="210">
        <v>44331.0</v>
      </c>
      <c r="EO22" s="210">
        <v>44332.0</v>
      </c>
      <c r="EP22" s="210">
        <v>44333.0</v>
      </c>
      <c r="EQ22" s="210">
        <v>44334.0</v>
      </c>
      <c r="ER22" s="210">
        <v>44335.0</v>
      </c>
      <c r="ES22" s="210">
        <v>44336.0</v>
      </c>
      <c r="ET22" s="210">
        <v>44337.0</v>
      </c>
      <c r="EU22" s="210">
        <v>44338.0</v>
      </c>
      <c r="EV22" s="210">
        <v>44339.0</v>
      </c>
      <c r="EW22" s="210">
        <v>44340.0</v>
      </c>
      <c r="EX22" s="210">
        <v>44341.0</v>
      </c>
      <c r="EY22" s="210">
        <v>44342.0</v>
      </c>
      <c r="EZ22" s="210">
        <v>44343.0</v>
      </c>
      <c r="FA22" s="210">
        <v>44344.0</v>
      </c>
      <c r="FB22" s="210">
        <v>44345.0</v>
      </c>
      <c r="FC22" s="210">
        <v>44346.0</v>
      </c>
      <c r="FD22" s="210">
        <v>44347.0</v>
      </c>
      <c r="FE22" s="52" t="s">
        <v>24</v>
      </c>
      <c r="FH22" s="53"/>
      <c r="FI22" s="132" t="s">
        <v>9</v>
      </c>
      <c r="FJ22" s="27"/>
      <c r="FK22" s="27"/>
      <c r="FL22" s="28"/>
      <c r="FM22" s="199" t="s">
        <v>141</v>
      </c>
      <c r="FN22" s="134"/>
      <c r="FO22" s="135"/>
      <c r="FP22" s="199" t="s">
        <v>142</v>
      </c>
      <c r="FQ22" s="134"/>
      <c r="FR22" s="135"/>
      <c r="FS22" s="199" t="s">
        <v>143</v>
      </c>
      <c r="FT22" s="134"/>
      <c r="FU22" s="135"/>
      <c r="FV22" s="199" t="s">
        <v>144</v>
      </c>
      <c r="FW22" s="134"/>
      <c r="FX22" s="135"/>
      <c r="FY22" s="200"/>
      <c r="FZ22" s="134"/>
      <c r="GA22" s="135"/>
      <c r="GB22" s="200"/>
      <c r="GC22" s="134"/>
      <c r="GD22" s="135"/>
      <c r="GE22" s="200"/>
      <c r="GF22" s="134"/>
      <c r="GG22" s="135"/>
      <c r="GH22" s="200"/>
      <c r="GI22" s="134"/>
      <c r="GJ22" s="135"/>
      <c r="GK22" s="200"/>
      <c r="GL22" s="134"/>
      <c r="GM22" s="135"/>
      <c r="GN22" s="200"/>
      <c r="GO22" s="134"/>
      <c r="GP22" s="135"/>
      <c r="GQ22" s="200"/>
      <c r="GR22" s="134"/>
      <c r="GS22" s="135"/>
      <c r="GT22" s="200"/>
      <c r="GU22" s="134"/>
      <c r="GV22" s="135"/>
      <c r="GW22" s="200"/>
      <c r="GX22" s="134"/>
      <c r="GY22" s="135"/>
      <c r="GZ22" s="200"/>
      <c r="HA22" s="134"/>
      <c r="HB22" s="135"/>
      <c r="HC22" s="200"/>
      <c r="HD22" s="134"/>
      <c r="HE22" s="135"/>
      <c r="HF22" s="356"/>
    </row>
    <row r="23" ht="15.0" customHeight="1">
      <c r="C23" s="55"/>
      <c r="K23" s="33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31"/>
      <c r="AS23" s="62" t="s">
        <v>25</v>
      </c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0"/>
      <c r="BF23" s="63">
        <f t="shared" ref="BF23:BF28" si="6">SUM(M26:AQ26)</f>
        <v>0</v>
      </c>
      <c r="BG23" s="59"/>
      <c r="BH23" s="60"/>
      <c r="BI23" s="384">
        <v>0.0</v>
      </c>
      <c r="BJ23" s="59"/>
      <c r="BK23" s="60"/>
      <c r="BL23" s="63">
        <v>0.0</v>
      </c>
      <c r="BM23" s="59"/>
      <c r="BN23" s="60"/>
      <c r="BO23" s="65">
        <v>0.0</v>
      </c>
      <c r="BP23" s="59"/>
      <c r="BQ23" s="60"/>
      <c r="BR23" s="66">
        <v>0.0</v>
      </c>
      <c r="BS23" s="59"/>
      <c r="BT23" s="60"/>
      <c r="BU23" s="67">
        <f>(BI23-BF23)/'График'!AK8</f>
        <v>0</v>
      </c>
      <c r="BV23" s="59"/>
      <c r="BW23" s="60"/>
      <c r="BX23" s="31"/>
      <c r="BY23" s="68" t="s">
        <v>26</v>
      </c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60"/>
      <c r="CM23" s="66" t="str">
        <f>BF25*100/BF23</f>
        <v>#DIV/0!</v>
      </c>
      <c r="CN23" s="60"/>
      <c r="CO23" s="66" t="str">
        <f>((BF25*100/BF23)+CM5)/2</f>
        <v>#DIV/0!</v>
      </c>
      <c r="CP23" s="60"/>
      <c r="CQ23" s="31"/>
      <c r="CR23" s="68" t="s">
        <v>27</v>
      </c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60"/>
      <c r="DH23" s="71">
        <f>FE32</f>
        <v>2500</v>
      </c>
      <c r="DI23" s="59"/>
      <c r="DJ23" s="60"/>
      <c r="DK23" s="31"/>
      <c r="DL23" s="55"/>
      <c r="DW23" s="33"/>
      <c r="DX23" s="55"/>
      <c r="DY23" s="33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H23" s="53"/>
      <c r="FI23" s="57"/>
      <c r="FJ23" s="39"/>
      <c r="FK23" s="39"/>
      <c r="FL23" s="40"/>
      <c r="FM23" s="58"/>
      <c r="FN23" s="59"/>
      <c r="FO23" s="60"/>
      <c r="FP23" s="58"/>
      <c r="FQ23" s="59"/>
      <c r="FR23" s="60"/>
      <c r="FS23" s="58"/>
      <c r="FT23" s="59"/>
      <c r="FU23" s="60"/>
      <c r="FV23" s="58"/>
      <c r="FW23" s="59"/>
      <c r="FX23" s="60"/>
      <c r="FY23" s="58"/>
      <c r="FZ23" s="59"/>
      <c r="GA23" s="60"/>
      <c r="GB23" s="58"/>
      <c r="GC23" s="59"/>
      <c r="GD23" s="60"/>
      <c r="GE23" s="58"/>
      <c r="GF23" s="59"/>
      <c r="GG23" s="60"/>
      <c r="GH23" s="58"/>
      <c r="GI23" s="59"/>
      <c r="GJ23" s="60"/>
      <c r="GK23" s="58"/>
      <c r="GL23" s="59"/>
      <c r="GM23" s="60"/>
      <c r="GN23" s="58"/>
      <c r="GO23" s="59"/>
      <c r="GP23" s="60"/>
      <c r="GQ23" s="58"/>
      <c r="GR23" s="59"/>
      <c r="GS23" s="60"/>
      <c r="GT23" s="58"/>
      <c r="GU23" s="59"/>
      <c r="GV23" s="60"/>
      <c r="GW23" s="58"/>
      <c r="GX23" s="59"/>
      <c r="GY23" s="60"/>
      <c r="GZ23" s="58"/>
      <c r="HA23" s="59"/>
      <c r="HB23" s="60"/>
      <c r="HC23" s="58"/>
      <c r="HD23" s="59"/>
      <c r="HE23" s="60"/>
      <c r="HF23" s="356"/>
    </row>
    <row r="24" ht="15.0" customHeight="1">
      <c r="C24" s="55"/>
      <c r="K24" s="33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31"/>
      <c r="AS24" s="77" t="s">
        <v>28</v>
      </c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5"/>
      <c r="BF24" s="78">
        <f t="shared" si="6"/>
        <v>0</v>
      </c>
      <c r="BG24" s="74"/>
      <c r="BH24" s="75"/>
      <c r="BI24" s="385">
        <v>60.0</v>
      </c>
      <c r="BJ24" s="74"/>
      <c r="BK24" s="75"/>
      <c r="BL24" s="78">
        <f t="shared" ref="BL24:BL27" si="7">IF(BF24&lt;BI24,BF24,IF(BF24&gt;=BI24,BI24))</f>
        <v>0</v>
      </c>
      <c r="BM24" s="74"/>
      <c r="BN24" s="75"/>
      <c r="BO24" s="80">
        <f t="shared" ref="BO24:BO27" si="8">2500*BR24/100</f>
        <v>0</v>
      </c>
      <c r="BP24" s="74"/>
      <c r="BQ24" s="75"/>
      <c r="BR24" s="81">
        <f t="shared" ref="BR24:BR27" si="9">BL24*100/BI24</f>
        <v>0</v>
      </c>
      <c r="BS24" s="74"/>
      <c r="BT24" s="75"/>
      <c r="BU24" s="82">
        <f>(BI24-BF24)/'График'!AK8</f>
        <v>2.608695652</v>
      </c>
      <c r="BV24" s="74"/>
      <c r="BW24" s="75"/>
      <c r="BX24" s="31"/>
      <c r="BY24" s="83" t="s">
        <v>29</v>
      </c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5"/>
      <c r="CM24" s="81" t="str">
        <f>BF26*100/BF23</f>
        <v>#DIV/0!</v>
      </c>
      <c r="CN24" s="75"/>
      <c r="CO24" s="81" t="str">
        <f>((BF25*100/BF23)+CM6)/2</f>
        <v>#DIV/0!</v>
      </c>
      <c r="CP24" s="75"/>
      <c r="CQ24" s="31"/>
      <c r="CR24" s="92" t="s">
        <v>30</v>
      </c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5"/>
      <c r="DH24" s="85">
        <f>sum(BO24:BQ27,BO29)</f>
        <v>0</v>
      </c>
      <c r="DI24" s="74"/>
      <c r="DJ24" s="75"/>
      <c r="DK24" s="31"/>
      <c r="DL24" s="55"/>
      <c r="DW24" s="33"/>
      <c r="DX24" s="55"/>
      <c r="DY24" s="33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H24" s="53"/>
      <c r="FI24" s="72" t="s">
        <v>21</v>
      </c>
      <c r="FJ24" s="27"/>
      <c r="FK24" s="27"/>
      <c r="FL24" s="28"/>
      <c r="FM24" s="73">
        <v>20000.0</v>
      </c>
      <c r="FN24" s="74"/>
      <c r="FO24" s="75"/>
      <c r="FP24" s="73">
        <v>10000.0</v>
      </c>
      <c r="FQ24" s="74"/>
      <c r="FR24" s="75"/>
      <c r="FS24" s="73">
        <v>32000.0</v>
      </c>
      <c r="FT24" s="74"/>
      <c r="FU24" s="75"/>
      <c r="FV24" s="73">
        <v>20000.0</v>
      </c>
      <c r="FW24" s="74"/>
      <c r="FX24" s="75"/>
      <c r="FY24" s="76"/>
      <c r="FZ24" s="74"/>
      <c r="GA24" s="75"/>
      <c r="GB24" s="76"/>
      <c r="GC24" s="74"/>
      <c r="GD24" s="75"/>
      <c r="GE24" s="76"/>
      <c r="GF24" s="74"/>
      <c r="GG24" s="75"/>
      <c r="GH24" s="76"/>
      <c r="GI24" s="74"/>
      <c r="GJ24" s="75"/>
      <c r="GK24" s="76"/>
      <c r="GL24" s="74"/>
      <c r="GM24" s="75"/>
      <c r="GN24" s="76"/>
      <c r="GO24" s="74"/>
      <c r="GP24" s="75"/>
      <c r="GQ24" s="76"/>
      <c r="GR24" s="74"/>
      <c r="GS24" s="75"/>
      <c r="GT24" s="76"/>
      <c r="GU24" s="74"/>
      <c r="GV24" s="75"/>
      <c r="GW24" s="76"/>
      <c r="GX24" s="74"/>
      <c r="GY24" s="75"/>
      <c r="GZ24" s="76"/>
      <c r="HA24" s="74"/>
      <c r="HB24" s="75"/>
      <c r="HC24" s="76"/>
      <c r="HD24" s="74"/>
      <c r="HE24" s="75"/>
      <c r="HF24" s="356"/>
    </row>
    <row r="25" ht="15.0" customHeight="1">
      <c r="C25" s="57"/>
      <c r="D25" s="39"/>
      <c r="E25" s="39"/>
      <c r="F25" s="39"/>
      <c r="G25" s="39"/>
      <c r="H25" s="39"/>
      <c r="I25" s="39"/>
      <c r="J25" s="39"/>
      <c r="K25" s="40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31"/>
      <c r="AS25" s="91" t="s">
        <v>32</v>
      </c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5"/>
      <c r="BF25" s="78">
        <f t="shared" si="6"/>
        <v>0</v>
      </c>
      <c r="BG25" s="74"/>
      <c r="BH25" s="75"/>
      <c r="BI25" s="385">
        <v>30.0</v>
      </c>
      <c r="BJ25" s="74"/>
      <c r="BK25" s="75"/>
      <c r="BL25" s="78">
        <f t="shared" si="7"/>
        <v>0</v>
      </c>
      <c r="BM25" s="74"/>
      <c r="BN25" s="75"/>
      <c r="BO25" s="80">
        <f t="shared" si="8"/>
        <v>0</v>
      </c>
      <c r="BP25" s="74"/>
      <c r="BQ25" s="75"/>
      <c r="BR25" s="81">
        <f t="shared" si="9"/>
        <v>0</v>
      </c>
      <c r="BS25" s="74"/>
      <c r="BT25" s="75"/>
      <c r="BU25" s="82">
        <f>(BI25-BF25)/'График'!AK8</f>
        <v>1.304347826</v>
      </c>
      <c r="BV25" s="74"/>
      <c r="BW25" s="75"/>
      <c r="BX25" s="31"/>
      <c r="BY25" s="92" t="s">
        <v>33</v>
      </c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5"/>
      <c r="CM25" s="81" t="str">
        <f>BF27*100/BF23</f>
        <v>#DIV/0!</v>
      </c>
      <c r="CN25" s="75"/>
      <c r="CO25" s="81" t="str">
        <f>((BF27*100/BF23)+CM7)/2</f>
        <v>#DIV/0!</v>
      </c>
      <c r="CP25" s="75"/>
      <c r="CQ25" s="31"/>
      <c r="CR25" s="92" t="s">
        <v>34</v>
      </c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5"/>
      <c r="DH25" s="93">
        <f>sum(BR24,BR25,BR26,BR27,BR29)/5</f>
        <v>0</v>
      </c>
      <c r="DI25" s="74"/>
      <c r="DJ25" s="75"/>
      <c r="DK25" s="31"/>
      <c r="DL25" s="57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40"/>
      <c r="DX25" s="57"/>
      <c r="DY25" s="40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H25" s="53"/>
      <c r="FI25" s="87" t="s">
        <v>31</v>
      </c>
      <c r="FJ25" s="88"/>
      <c r="FK25" s="88"/>
      <c r="FL25" s="89"/>
      <c r="FM25" s="90">
        <v>1.0</v>
      </c>
      <c r="FN25" s="59"/>
      <c r="FO25" s="60"/>
      <c r="FP25" s="90">
        <v>2.0</v>
      </c>
      <c r="FQ25" s="59"/>
      <c r="FR25" s="60"/>
      <c r="FS25" s="90">
        <v>3.0</v>
      </c>
      <c r="FT25" s="59"/>
      <c r="FU25" s="60"/>
      <c r="FV25" s="90">
        <v>4.0</v>
      </c>
      <c r="FW25" s="59"/>
      <c r="FX25" s="60"/>
      <c r="FY25" s="90">
        <v>5.0</v>
      </c>
      <c r="FZ25" s="59"/>
      <c r="GA25" s="60"/>
      <c r="GB25" s="90">
        <v>6.0</v>
      </c>
      <c r="GC25" s="59"/>
      <c r="GD25" s="60"/>
      <c r="GE25" s="90">
        <v>7.0</v>
      </c>
      <c r="GF25" s="59"/>
      <c r="GG25" s="60"/>
      <c r="GH25" s="90">
        <v>8.0</v>
      </c>
      <c r="GI25" s="59"/>
      <c r="GJ25" s="60"/>
      <c r="GK25" s="90">
        <v>9.0</v>
      </c>
      <c r="GL25" s="59"/>
      <c r="GM25" s="60"/>
      <c r="GN25" s="90">
        <v>10.0</v>
      </c>
      <c r="GO25" s="59"/>
      <c r="GP25" s="60"/>
      <c r="GQ25" s="90">
        <v>11.0</v>
      </c>
      <c r="GR25" s="59"/>
      <c r="GS25" s="60"/>
      <c r="GT25" s="90">
        <v>12.0</v>
      </c>
      <c r="GU25" s="59"/>
      <c r="GV25" s="60"/>
      <c r="GW25" s="90">
        <v>13.0</v>
      </c>
      <c r="GX25" s="59"/>
      <c r="GY25" s="60"/>
      <c r="GZ25" s="90">
        <v>14.0</v>
      </c>
      <c r="HA25" s="59"/>
      <c r="HB25" s="60"/>
      <c r="HC25" s="90">
        <v>15.0</v>
      </c>
      <c r="HD25" s="59"/>
      <c r="HE25" s="60"/>
      <c r="HF25" s="356"/>
    </row>
    <row r="26" ht="15.0" customHeight="1">
      <c r="C26" s="95" t="s">
        <v>35</v>
      </c>
      <c r="D26" s="59"/>
      <c r="E26" s="59"/>
      <c r="F26" s="59"/>
      <c r="G26" s="59"/>
      <c r="H26" s="59"/>
      <c r="I26" s="59"/>
      <c r="J26" s="59"/>
      <c r="K26" s="59"/>
      <c r="L26" s="60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357"/>
      <c r="Y26" s="357"/>
      <c r="Z26" s="97"/>
      <c r="AA26" s="97"/>
      <c r="AB26" s="357"/>
      <c r="AC26" s="357"/>
      <c r="AD26" s="357"/>
      <c r="AE26" s="97"/>
      <c r="AF26" s="97"/>
      <c r="AG26" s="35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31"/>
      <c r="AS26" s="91" t="s">
        <v>38</v>
      </c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5"/>
      <c r="BF26" s="78">
        <f t="shared" si="6"/>
        <v>0</v>
      </c>
      <c r="BG26" s="74"/>
      <c r="BH26" s="75"/>
      <c r="BI26" s="385">
        <v>20.0</v>
      </c>
      <c r="BJ26" s="74"/>
      <c r="BK26" s="75"/>
      <c r="BL26" s="78">
        <f t="shared" si="7"/>
        <v>0</v>
      </c>
      <c r="BM26" s="74"/>
      <c r="BN26" s="75"/>
      <c r="BO26" s="80">
        <f t="shared" si="8"/>
        <v>0</v>
      </c>
      <c r="BP26" s="74"/>
      <c r="BQ26" s="75"/>
      <c r="BR26" s="81">
        <f t="shared" si="9"/>
        <v>0</v>
      </c>
      <c r="BS26" s="74"/>
      <c r="BT26" s="75"/>
      <c r="BU26" s="82">
        <f>(BI26-BF26)/'График'!AK8</f>
        <v>0.8695652174</v>
      </c>
      <c r="BV26" s="74"/>
      <c r="BW26" s="75"/>
      <c r="BX26" s="31"/>
      <c r="BY26" s="83" t="s">
        <v>39</v>
      </c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5"/>
      <c r="CM26" s="81" t="str">
        <f>BF25*100/BF24</f>
        <v>#DIV/0!</v>
      </c>
      <c r="CN26" s="75"/>
      <c r="CO26" s="81" t="str">
        <f>((BF25*100/BF24)+CM8)/2</f>
        <v>#DIV/0!</v>
      </c>
      <c r="CP26" s="75"/>
      <c r="CQ26" s="31"/>
      <c r="CR26" s="83" t="s">
        <v>45</v>
      </c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5"/>
      <c r="DH26" s="85">
        <f>FI9</f>
        <v>7500</v>
      </c>
      <c r="DI26" s="74"/>
      <c r="DJ26" s="75"/>
      <c r="DK26" s="31"/>
      <c r="DL26" s="95" t="s">
        <v>41</v>
      </c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60"/>
      <c r="DX26" s="103">
        <v>200.0</v>
      </c>
      <c r="DY26" s="60"/>
      <c r="DZ26" s="106">
        <v>1.0</v>
      </c>
      <c r="EA26" s="105"/>
      <c r="EB26" s="106"/>
      <c r="EC26" s="105"/>
      <c r="ED26" s="105"/>
      <c r="EE26" s="106">
        <v>1.0</v>
      </c>
      <c r="EF26" s="105"/>
      <c r="EG26" s="105"/>
      <c r="EH26" s="105"/>
      <c r="EI26" s="106"/>
      <c r="EJ26" s="106">
        <v>1.0</v>
      </c>
      <c r="EK26" s="105"/>
      <c r="EL26" s="106"/>
      <c r="EM26" s="105"/>
      <c r="EN26" s="105"/>
      <c r="EO26" s="106">
        <v>1.0</v>
      </c>
      <c r="EP26" s="106"/>
      <c r="EQ26" s="105"/>
      <c r="ER26" s="105"/>
      <c r="ES26" s="106"/>
      <c r="ET26" s="105"/>
      <c r="EU26" s="105"/>
      <c r="EV26" s="105"/>
      <c r="EW26" s="106"/>
      <c r="EX26" s="105"/>
      <c r="EY26" s="105"/>
      <c r="EZ26" s="105"/>
      <c r="FA26" s="106"/>
      <c r="FB26" s="105"/>
      <c r="FC26" s="105"/>
      <c r="FD26" s="105"/>
      <c r="FE26" s="107">
        <f t="shared" ref="FE26:FE31" si="10">sum(DZ26:FD26)*DX26</f>
        <v>800</v>
      </c>
      <c r="FF26" s="74"/>
      <c r="FG26" s="75"/>
      <c r="FH26" s="108"/>
      <c r="FI26" s="98" t="s">
        <v>36</v>
      </c>
      <c r="FJ26" s="5"/>
      <c r="FK26" s="5"/>
      <c r="FL26" s="99" t="s">
        <v>37</v>
      </c>
      <c r="FM26" s="101">
        <v>10.0</v>
      </c>
      <c r="FN26" s="59"/>
      <c r="FO26" s="60"/>
      <c r="FP26" s="101">
        <v>10.0</v>
      </c>
      <c r="FQ26" s="59"/>
      <c r="FR26" s="60"/>
      <c r="FS26" s="101">
        <v>10.0</v>
      </c>
      <c r="FT26" s="59"/>
      <c r="FU26" s="60"/>
      <c r="FV26" s="101">
        <v>10.0</v>
      </c>
      <c r="FW26" s="59"/>
      <c r="FX26" s="60"/>
      <c r="FY26" s="101">
        <v>10.0</v>
      </c>
      <c r="FZ26" s="59"/>
      <c r="GA26" s="60"/>
      <c r="GB26" s="101">
        <v>10.0</v>
      </c>
      <c r="GC26" s="59"/>
      <c r="GD26" s="60"/>
      <c r="GE26" s="101">
        <v>10.0</v>
      </c>
      <c r="GF26" s="59"/>
      <c r="GG26" s="60"/>
      <c r="GH26" s="101">
        <v>10.0</v>
      </c>
      <c r="GI26" s="59"/>
      <c r="GJ26" s="60"/>
      <c r="GK26" s="101">
        <v>10.0</v>
      </c>
      <c r="GL26" s="59"/>
      <c r="GM26" s="60"/>
      <c r="GN26" s="101">
        <v>10.0</v>
      </c>
      <c r="GO26" s="59"/>
      <c r="GP26" s="60"/>
      <c r="GQ26" s="101">
        <v>10.0</v>
      </c>
      <c r="GR26" s="59"/>
      <c r="GS26" s="60"/>
      <c r="GT26" s="101">
        <v>10.0</v>
      </c>
      <c r="GU26" s="59"/>
      <c r="GV26" s="60"/>
      <c r="GW26" s="101">
        <v>10.0</v>
      </c>
      <c r="GX26" s="59"/>
      <c r="GY26" s="60"/>
      <c r="GZ26" s="101">
        <v>10.0</v>
      </c>
      <c r="HA26" s="59"/>
      <c r="HB26" s="60"/>
      <c r="HC26" s="101">
        <v>10.0</v>
      </c>
      <c r="HD26" s="59"/>
      <c r="HE26" s="60"/>
      <c r="HF26" s="356"/>
    </row>
    <row r="27" ht="15.0" customHeight="1">
      <c r="C27" s="110" t="s">
        <v>42</v>
      </c>
      <c r="D27" s="74"/>
      <c r="E27" s="74"/>
      <c r="F27" s="74"/>
      <c r="G27" s="74"/>
      <c r="H27" s="74"/>
      <c r="I27" s="74"/>
      <c r="J27" s="74"/>
      <c r="K27" s="74"/>
      <c r="L27" s="75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358"/>
      <c r="Y27" s="358"/>
      <c r="Z27" s="112"/>
      <c r="AA27" s="112"/>
      <c r="AB27" s="358"/>
      <c r="AC27" s="358"/>
      <c r="AD27" s="358"/>
      <c r="AE27" s="112"/>
      <c r="AF27" s="112"/>
      <c r="AG27" s="358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31"/>
      <c r="AS27" s="77" t="s">
        <v>43</v>
      </c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5"/>
      <c r="BF27" s="78">
        <f t="shared" si="6"/>
        <v>0</v>
      </c>
      <c r="BG27" s="74"/>
      <c r="BH27" s="75"/>
      <c r="BI27" s="386">
        <v>5.0</v>
      </c>
      <c r="BJ27" s="74"/>
      <c r="BK27" s="75"/>
      <c r="BL27" s="78">
        <f t="shared" si="7"/>
        <v>0</v>
      </c>
      <c r="BM27" s="74"/>
      <c r="BN27" s="75"/>
      <c r="BO27" s="80">
        <f t="shared" si="8"/>
        <v>0</v>
      </c>
      <c r="BP27" s="74"/>
      <c r="BQ27" s="75"/>
      <c r="BR27" s="81">
        <f t="shared" si="9"/>
        <v>0</v>
      </c>
      <c r="BS27" s="74"/>
      <c r="BT27" s="75"/>
      <c r="BU27" s="82">
        <f>(BI27-BF27)/'График'!AK8</f>
        <v>0.2173913043</v>
      </c>
      <c r="BV27" s="74"/>
      <c r="BW27" s="75"/>
      <c r="BX27" s="31"/>
      <c r="BY27" s="83" t="s">
        <v>44</v>
      </c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5"/>
      <c r="CM27" s="81" t="str">
        <f>BF26*100/BF24</f>
        <v>#DIV/0!</v>
      </c>
      <c r="CN27" s="75"/>
      <c r="CO27" s="81" t="str">
        <f>((BF26*100/BF24)+CM9)/2</f>
        <v>#DIV/0!</v>
      </c>
      <c r="CP27" s="75"/>
      <c r="CQ27" s="31"/>
      <c r="CR27" s="83" t="s">
        <v>50</v>
      </c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5"/>
      <c r="DH27" s="85"/>
      <c r="DI27" s="74"/>
      <c r="DJ27" s="75"/>
      <c r="DK27" s="31"/>
      <c r="DL27" s="92" t="s">
        <v>46</v>
      </c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5"/>
      <c r="DX27" s="116">
        <v>200.0</v>
      </c>
      <c r="DY27" s="75"/>
      <c r="DZ27" s="119"/>
      <c r="EA27" s="118"/>
      <c r="EB27" s="119">
        <v>1.0</v>
      </c>
      <c r="EC27" s="118"/>
      <c r="ED27" s="118"/>
      <c r="EE27" s="118"/>
      <c r="EF27" s="118"/>
      <c r="EG27" s="119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9"/>
      <c r="FE27" s="107">
        <f t="shared" si="10"/>
        <v>200</v>
      </c>
      <c r="FF27" s="74"/>
      <c r="FG27" s="75"/>
      <c r="FH27" s="108"/>
      <c r="FI27" s="113">
        <f>SUM(FM27:HD27)</f>
        <v>8200</v>
      </c>
      <c r="FJ27" s="59"/>
      <c r="FK27" s="59"/>
      <c r="FL27" s="60"/>
      <c r="FM27" s="114">
        <f>(FM24*FM26)/100</f>
        <v>2000</v>
      </c>
      <c r="FN27" s="74"/>
      <c r="FO27" s="75"/>
      <c r="FP27" s="115">
        <f>(FP24*FP26)/100</f>
        <v>1000</v>
      </c>
      <c r="FQ27" s="74"/>
      <c r="FR27" s="75"/>
      <c r="FS27" s="115">
        <f>(FS24*FS26)/100</f>
        <v>3200</v>
      </c>
      <c r="FT27" s="74"/>
      <c r="FU27" s="75"/>
      <c r="FV27" s="115">
        <f>(FV24*FV26)/100</f>
        <v>2000</v>
      </c>
      <c r="FW27" s="74"/>
      <c r="FX27" s="75"/>
      <c r="FY27" s="115">
        <f>(FY24*FY26)/100</f>
        <v>0</v>
      </c>
      <c r="FZ27" s="74"/>
      <c r="GA27" s="75"/>
      <c r="GB27" s="115">
        <f>(GB24*GB26)/100</f>
        <v>0</v>
      </c>
      <c r="GC27" s="74"/>
      <c r="GD27" s="75"/>
      <c r="GE27" s="115">
        <f>(GE24*GE26)/100</f>
        <v>0</v>
      </c>
      <c r="GF27" s="74"/>
      <c r="GG27" s="75"/>
      <c r="GH27" s="115">
        <f>(GH24*GH26)/100</f>
        <v>0</v>
      </c>
      <c r="GI27" s="74"/>
      <c r="GJ27" s="75"/>
      <c r="GK27" s="115">
        <f>(GK24*GK26)/100</f>
        <v>0</v>
      </c>
      <c r="GL27" s="74"/>
      <c r="GM27" s="75"/>
      <c r="GN27" s="115">
        <f>(GN24*GN26)/100</f>
        <v>0</v>
      </c>
      <c r="GO27" s="74"/>
      <c r="GP27" s="75"/>
      <c r="GQ27" s="115">
        <f>(GQ24*GQ26)/100</f>
        <v>0</v>
      </c>
      <c r="GR27" s="74"/>
      <c r="GS27" s="75"/>
      <c r="GT27" s="115">
        <f>(GT24*GT26)/100</f>
        <v>0</v>
      </c>
      <c r="GU27" s="74"/>
      <c r="GV27" s="75"/>
      <c r="GW27" s="115">
        <f>(GW24*GW26)/100</f>
        <v>0</v>
      </c>
      <c r="GX27" s="74"/>
      <c r="GY27" s="75"/>
      <c r="GZ27" s="115">
        <f>(GZ24*GZ26)/100</f>
        <v>0</v>
      </c>
      <c r="HA27" s="74"/>
      <c r="HB27" s="75"/>
      <c r="HC27" s="115">
        <f>(HC24*HC26)/100</f>
        <v>0</v>
      </c>
      <c r="HD27" s="74"/>
      <c r="HE27" s="75"/>
      <c r="HF27" s="356"/>
    </row>
    <row r="28" ht="15.0" customHeight="1">
      <c r="C28" s="83" t="s">
        <v>32</v>
      </c>
      <c r="D28" s="74"/>
      <c r="E28" s="74"/>
      <c r="F28" s="74"/>
      <c r="G28" s="74"/>
      <c r="H28" s="74"/>
      <c r="I28" s="74"/>
      <c r="J28" s="74"/>
      <c r="K28" s="74"/>
      <c r="L28" s="75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358"/>
      <c r="Y28" s="358"/>
      <c r="Z28" s="112"/>
      <c r="AA28" s="112"/>
      <c r="AB28" s="358"/>
      <c r="AC28" s="358"/>
      <c r="AD28" s="358"/>
      <c r="AE28" s="112"/>
      <c r="AF28" s="112"/>
      <c r="AG28" s="358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31"/>
      <c r="AS28" s="91" t="s">
        <v>48</v>
      </c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5"/>
      <c r="BF28" s="78">
        <f t="shared" si="6"/>
        <v>0</v>
      </c>
      <c r="BG28" s="74"/>
      <c r="BH28" s="75"/>
      <c r="BI28" s="386">
        <v>0.0</v>
      </c>
      <c r="BJ28" s="74"/>
      <c r="BK28" s="75"/>
      <c r="BL28" s="78">
        <v>0.0</v>
      </c>
      <c r="BM28" s="74"/>
      <c r="BN28" s="75"/>
      <c r="BO28" s="80">
        <v>0.0</v>
      </c>
      <c r="BP28" s="74"/>
      <c r="BQ28" s="75"/>
      <c r="BR28" s="81">
        <v>0.0</v>
      </c>
      <c r="BS28" s="74"/>
      <c r="BT28" s="75"/>
      <c r="BU28" s="82">
        <f>(BI28-BF28)/'График'!AK8</f>
        <v>0</v>
      </c>
      <c r="BV28" s="74"/>
      <c r="BW28" s="75"/>
      <c r="BX28" s="31"/>
      <c r="BY28" s="92" t="s">
        <v>49</v>
      </c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5"/>
      <c r="CM28" s="81" t="str">
        <f>BF27*100/BF24</f>
        <v>#DIV/0!</v>
      </c>
      <c r="CN28" s="75"/>
      <c r="CO28" s="81" t="str">
        <f>((BF27*100/BF24)+CM10)/2</f>
        <v>#DIV/0!</v>
      </c>
      <c r="CP28" s="75"/>
      <c r="CQ28" s="31"/>
      <c r="CR28" s="83" t="s">
        <v>54</v>
      </c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5"/>
      <c r="DH28" s="85">
        <f>if(DH25&gt;84,BF29*15%+DH24,if(DH25&lt;85,BF29*5%+DH24))</f>
        <v>0</v>
      </c>
      <c r="DI28" s="74"/>
      <c r="DJ28" s="75"/>
      <c r="DK28" s="31"/>
      <c r="DL28" s="92" t="s">
        <v>51</v>
      </c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5"/>
      <c r="DX28" s="116">
        <v>500.0</v>
      </c>
      <c r="DY28" s="75"/>
      <c r="DZ28" s="119">
        <v>1.0</v>
      </c>
      <c r="EA28" s="118"/>
      <c r="EB28" s="118"/>
      <c r="EC28" s="118"/>
      <c r="ED28" s="118"/>
      <c r="EE28" s="118"/>
      <c r="EF28" s="118"/>
      <c r="EG28" s="119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07">
        <f t="shared" si="10"/>
        <v>500</v>
      </c>
      <c r="FF28" s="74"/>
      <c r="FG28" s="75"/>
      <c r="FH28" s="108"/>
      <c r="FI28" s="98" t="s">
        <v>47</v>
      </c>
      <c r="FJ28" s="5"/>
      <c r="FK28" s="5"/>
      <c r="FL28" s="99" t="s">
        <v>37</v>
      </c>
      <c r="FM28" s="122"/>
      <c r="FN28" s="74"/>
      <c r="FO28" s="75"/>
      <c r="FP28" s="122"/>
      <c r="FQ28" s="74"/>
      <c r="FR28" s="75"/>
      <c r="FS28" s="122"/>
      <c r="FT28" s="74"/>
      <c r="FU28" s="75"/>
      <c r="FV28" s="122"/>
      <c r="FW28" s="74"/>
      <c r="FX28" s="75"/>
      <c r="FY28" s="122">
        <v>5.0</v>
      </c>
      <c r="FZ28" s="74"/>
      <c r="GA28" s="75"/>
      <c r="GB28" s="122">
        <v>5.0</v>
      </c>
      <c r="GC28" s="74"/>
      <c r="GD28" s="75"/>
      <c r="GE28" s="122">
        <v>5.0</v>
      </c>
      <c r="GF28" s="74"/>
      <c r="GG28" s="75"/>
      <c r="GH28" s="122">
        <v>5.0</v>
      </c>
      <c r="GI28" s="74"/>
      <c r="GJ28" s="75"/>
      <c r="GK28" s="122">
        <v>5.0</v>
      </c>
      <c r="GL28" s="74"/>
      <c r="GM28" s="75"/>
      <c r="GN28" s="122">
        <v>5.0</v>
      </c>
      <c r="GO28" s="74"/>
      <c r="GP28" s="75"/>
      <c r="GQ28" s="122">
        <v>5.0</v>
      </c>
      <c r="GR28" s="74"/>
      <c r="GS28" s="75"/>
      <c r="GT28" s="122">
        <v>5.0</v>
      </c>
      <c r="GU28" s="74"/>
      <c r="GV28" s="75"/>
      <c r="GW28" s="122">
        <v>5.0</v>
      </c>
      <c r="GX28" s="74"/>
      <c r="GY28" s="75"/>
      <c r="GZ28" s="122">
        <v>5.0</v>
      </c>
      <c r="HA28" s="74"/>
      <c r="HB28" s="75"/>
      <c r="HC28" s="122">
        <v>5.0</v>
      </c>
      <c r="HD28" s="74"/>
      <c r="HE28" s="75"/>
      <c r="HF28" s="359"/>
    </row>
    <row r="29" ht="15.0" customHeight="1">
      <c r="C29" s="83" t="s">
        <v>38</v>
      </c>
      <c r="D29" s="74"/>
      <c r="E29" s="74"/>
      <c r="F29" s="74"/>
      <c r="G29" s="74"/>
      <c r="H29" s="74"/>
      <c r="I29" s="74"/>
      <c r="J29" s="74"/>
      <c r="K29" s="74"/>
      <c r="L29" s="75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358"/>
      <c r="Y29" s="358"/>
      <c r="Z29" s="112"/>
      <c r="AA29" s="112"/>
      <c r="AB29" s="358"/>
      <c r="AC29" s="358"/>
      <c r="AD29" s="358"/>
      <c r="AE29" s="112"/>
      <c r="AF29" s="112"/>
      <c r="AG29" s="358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31"/>
      <c r="AS29" s="77" t="s">
        <v>52</v>
      </c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5"/>
      <c r="BF29" s="80">
        <f>SUM(N32:AQ32)</f>
        <v>0</v>
      </c>
      <c r="BG29" s="74"/>
      <c r="BH29" s="75"/>
      <c r="BI29" s="125">
        <v>60000.0</v>
      </c>
      <c r="BJ29" s="74"/>
      <c r="BK29" s="75"/>
      <c r="BL29" s="126">
        <f>IF(BF29&lt;BI29,BF29,IF(BF29&gt;=BI29,BI29))</f>
        <v>0</v>
      </c>
      <c r="BM29" s="74"/>
      <c r="BN29" s="75"/>
      <c r="BO29" s="80">
        <f>5000*BR29/100</f>
        <v>0</v>
      </c>
      <c r="BP29" s="74"/>
      <c r="BQ29" s="75"/>
      <c r="BR29" s="81">
        <f>BL29*100/BI29</f>
        <v>0</v>
      </c>
      <c r="BS29" s="74"/>
      <c r="BT29" s="75"/>
      <c r="BU29" s="82">
        <f>(BI29-BF29)/'График'!AK8</f>
        <v>2608.695652</v>
      </c>
      <c r="BV29" s="74"/>
      <c r="BW29" s="75"/>
      <c r="BX29" s="31"/>
      <c r="BY29" s="83" t="s">
        <v>53</v>
      </c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5"/>
      <c r="CM29" s="81" t="str">
        <f>BF26*100/BF25</f>
        <v>#DIV/0!</v>
      </c>
      <c r="CN29" s="75"/>
      <c r="CO29" s="81" t="str">
        <f>((BF26*100/BF25)+CM11)/2</f>
        <v>#DIV/0!</v>
      </c>
      <c r="CP29" s="75"/>
      <c r="CQ29" s="31"/>
      <c r="CR29" s="83" t="s">
        <v>59</v>
      </c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5"/>
      <c r="DH29" s="85">
        <f>if(BF30&gt;=BI30,DH28+BO30,if(BF30&lt;BI30,DH28))-FE32</f>
        <v>-2500</v>
      </c>
      <c r="DI29" s="74"/>
      <c r="DJ29" s="75"/>
      <c r="DK29" s="31"/>
      <c r="DL29" s="92" t="s">
        <v>55</v>
      </c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5"/>
      <c r="DX29" s="116">
        <v>800.0</v>
      </c>
      <c r="DY29" s="75"/>
      <c r="DZ29" s="119"/>
      <c r="EA29" s="119"/>
      <c r="EB29" s="118"/>
      <c r="EC29" s="119"/>
      <c r="ED29" s="119"/>
      <c r="EE29" s="119"/>
      <c r="EF29" s="119"/>
      <c r="EG29" s="119"/>
      <c r="EH29" s="119"/>
      <c r="EI29" s="118"/>
      <c r="EJ29" s="118"/>
      <c r="EK29" s="119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07">
        <f t="shared" si="10"/>
        <v>0</v>
      </c>
      <c r="FF29" s="74"/>
      <c r="FG29" s="75"/>
      <c r="FH29" s="108"/>
      <c r="FI29" s="113">
        <f>SUM(FM29:HD29)</f>
        <v>0</v>
      </c>
      <c r="FJ29" s="59"/>
      <c r="FK29" s="59"/>
      <c r="FL29" s="60"/>
      <c r="FM29" s="123">
        <f>(FM24*FM28)/100</f>
        <v>0</v>
      </c>
      <c r="FN29" s="74"/>
      <c r="FO29" s="75"/>
      <c r="FP29" s="124">
        <f>(FP24*FP28)/100</f>
        <v>0</v>
      </c>
      <c r="FQ29" s="74"/>
      <c r="FR29" s="75"/>
      <c r="FS29" s="124">
        <f>(FS24*FS28)/100</f>
        <v>0</v>
      </c>
      <c r="FT29" s="74"/>
      <c r="FU29" s="75"/>
      <c r="FV29" s="124">
        <f>(FV24*FV28)/100</f>
        <v>0</v>
      </c>
      <c r="FW29" s="74"/>
      <c r="FX29" s="75"/>
      <c r="FY29" s="124">
        <f>(FY24*FY28)/100</f>
        <v>0</v>
      </c>
      <c r="FZ29" s="74"/>
      <c r="GA29" s="75"/>
      <c r="GB29" s="124">
        <f>(GB24*GB28)/100</f>
        <v>0</v>
      </c>
      <c r="GC29" s="74"/>
      <c r="GD29" s="75"/>
      <c r="GE29" s="124">
        <f>(GE24*GE28)/100</f>
        <v>0</v>
      </c>
      <c r="GF29" s="74"/>
      <c r="GG29" s="75"/>
      <c r="GH29" s="124">
        <f>(GH24*GH28)/100</f>
        <v>0</v>
      </c>
      <c r="GI29" s="74"/>
      <c r="GJ29" s="75"/>
      <c r="GK29" s="124">
        <f>(GK24*GK28)/100</f>
        <v>0</v>
      </c>
      <c r="GL29" s="74"/>
      <c r="GM29" s="75"/>
      <c r="GN29" s="124">
        <f>(GN24*GN28)/100</f>
        <v>0</v>
      </c>
      <c r="GO29" s="74"/>
      <c r="GP29" s="75"/>
      <c r="GQ29" s="124">
        <f>(GQ24*GQ28)/100</f>
        <v>0</v>
      </c>
      <c r="GR29" s="74"/>
      <c r="GS29" s="75"/>
      <c r="GT29" s="124">
        <f>(GT24*GT28)/100</f>
        <v>0</v>
      </c>
      <c r="GU29" s="74"/>
      <c r="GV29" s="75"/>
      <c r="GW29" s="124">
        <f>(GW24*GW28)/100</f>
        <v>0</v>
      </c>
      <c r="GX29" s="74"/>
      <c r="GY29" s="75"/>
      <c r="GZ29" s="124">
        <f>(GZ24*GZ28)/100</f>
        <v>0</v>
      </c>
      <c r="HA29" s="74"/>
      <c r="HB29" s="75"/>
      <c r="HC29" s="124">
        <f>(HC24*HC28)/100</f>
        <v>0</v>
      </c>
      <c r="HD29" s="74"/>
      <c r="HE29" s="75"/>
      <c r="HF29" s="359"/>
    </row>
    <row r="30" ht="15.0" customHeight="1">
      <c r="C30" s="92" t="s">
        <v>43</v>
      </c>
      <c r="D30" s="74"/>
      <c r="E30" s="74"/>
      <c r="F30" s="74"/>
      <c r="G30" s="74"/>
      <c r="H30" s="74"/>
      <c r="I30" s="74"/>
      <c r="J30" s="74"/>
      <c r="K30" s="74"/>
      <c r="L30" s="75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358"/>
      <c r="Y30" s="358"/>
      <c r="Z30" s="112"/>
      <c r="AA30" s="112"/>
      <c r="AB30" s="358"/>
      <c r="AC30" s="358"/>
      <c r="AD30" s="358"/>
      <c r="AE30" s="112"/>
      <c r="AF30" s="112"/>
      <c r="AG30" s="358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31"/>
      <c r="AS30" s="77" t="s">
        <v>57</v>
      </c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5"/>
      <c r="BF30" s="80">
        <f>sum(BF29+'Александр'!BI28)</f>
        <v>0</v>
      </c>
      <c r="BG30" s="74"/>
      <c r="BH30" s="75"/>
      <c r="BI30" s="128">
        <v>60000.0</v>
      </c>
      <c r="BJ30" s="74"/>
      <c r="BK30" s="75"/>
      <c r="BL30" s="130"/>
      <c r="BM30" s="74"/>
      <c r="BN30" s="75"/>
      <c r="BO30" s="80">
        <v>10000.0</v>
      </c>
      <c r="BP30" s="74"/>
      <c r="BQ30" s="75"/>
      <c r="BR30" s="131">
        <f>BF30*100/BI30</f>
        <v>0</v>
      </c>
      <c r="BS30" s="74"/>
      <c r="BT30" s="75"/>
      <c r="BU30" s="80">
        <f>(BI30-BF30)/'График'!AK8</f>
        <v>2608.695652</v>
      </c>
      <c r="BV30" s="74"/>
      <c r="BW30" s="75"/>
      <c r="BX30" s="31"/>
      <c r="BY30" s="83" t="s">
        <v>58</v>
      </c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5"/>
      <c r="CM30" s="81" t="str">
        <f>BF27*100/BF25</f>
        <v>#DIV/0!</v>
      </c>
      <c r="CN30" s="75"/>
      <c r="CO30" s="81" t="str">
        <f>((BF27*100/BF25)+CM12)/2</f>
        <v>#DIV/0!</v>
      </c>
      <c r="CP30" s="75"/>
      <c r="CQ30" s="31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9" t="s">
        <v>24</v>
      </c>
      <c r="DG30" s="75"/>
      <c r="DH30" s="140">
        <f>sum(DH29+DH26+DH27)</f>
        <v>5000</v>
      </c>
      <c r="DI30" s="74"/>
      <c r="DJ30" s="75"/>
      <c r="DK30" s="31"/>
      <c r="DL30" s="92" t="s">
        <v>60</v>
      </c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5"/>
      <c r="DX30" s="116">
        <v>1500.0</v>
      </c>
      <c r="DY30" s="75"/>
      <c r="DZ30" s="118"/>
      <c r="EA30" s="118"/>
      <c r="EB30" s="118"/>
      <c r="EC30" s="118"/>
      <c r="ED30" s="118"/>
      <c r="EE30" s="118"/>
      <c r="EF30" s="118"/>
      <c r="EG30" s="119"/>
      <c r="EH30" s="119"/>
      <c r="EI30" s="118"/>
      <c r="EJ30" s="119"/>
      <c r="EK30" s="119"/>
      <c r="EL30" s="119"/>
      <c r="EM30" s="118"/>
      <c r="EN30" s="118"/>
      <c r="EO30" s="118"/>
      <c r="EP30" s="118"/>
      <c r="EQ30" s="118"/>
      <c r="ER30" s="118"/>
      <c r="ES30" s="118"/>
      <c r="ET30" s="118"/>
      <c r="EU30" s="118"/>
      <c r="EV30" s="118"/>
      <c r="EW30" s="118"/>
      <c r="EX30" s="118"/>
      <c r="EY30" s="119"/>
      <c r="EZ30" s="118"/>
      <c r="FA30" s="118"/>
      <c r="FB30" s="118"/>
      <c r="FC30" s="118"/>
      <c r="FD30" s="118"/>
      <c r="FE30" s="107">
        <f t="shared" si="10"/>
        <v>0</v>
      </c>
      <c r="FF30" s="74"/>
      <c r="FG30" s="75"/>
      <c r="FH30" s="108"/>
      <c r="FI30" s="127" t="s">
        <v>56</v>
      </c>
      <c r="HF30" s="359"/>
    </row>
    <row r="31" ht="15.0" customHeight="1">
      <c r="C31" s="83" t="s">
        <v>48</v>
      </c>
      <c r="D31" s="74"/>
      <c r="E31" s="74"/>
      <c r="F31" s="74"/>
      <c r="G31" s="74"/>
      <c r="H31" s="74"/>
      <c r="I31" s="74"/>
      <c r="J31" s="74"/>
      <c r="K31" s="74"/>
      <c r="L31" s="75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358"/>
      <c r="Y31" s="358"/>
      <c r="Z31" s="112"/>
      <c r="AA31" s="112"/>
      <c r="AB31" s="358"/>
      <c r="AC31" s="358"/>
      <c r="AD31" s="358"/>
      <c r="AE31" s="112"/>
      <c r="AF31" s="112"/>
      <c r="AG31" s="358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31"/>
      <c r="AS31" s="77" t="s">
        <v>70</v>
      </c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5"/>
      <c r="BF31" s="80">
        <f>BI29-BF29</f>
        <v>60000</v>
      </c>
      <c r="BG31" s="74"/>
      <c r="BH31" s="75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7"/>
      <c r="BW31" s="137"/>
      <c r="BX31" s="31"/>
      <c r="BY31" s="83" t="s">
        <v>71</v>
      </c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5"/>
      <c r="CM31" s="81" t="str">
        <f>BF27*100/BF26</f>
        <v>#DIV/0!</v>
      </c>
      <c r="CN31" s="75"/>
      <c r="CO31" s="81" t="str">
        <f>((BF27*100/BF26)+CM13)/2</f>
        <v>#DIV/0!</v>
      </c>
      <c r="CP31" s="75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83" t="s">
        <v>72</v>
      </c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5"/>
      <c r="DX31" s="116">
        <v>1000.0</v>
      </c>
      <c r="DY31" s="74"/>
      <c r="DZ31" s="141"/>
      <c r="EA31" s="142"/>
      <c r="EB31" s="141"/>
      <c r="EC31" s="141"/>
      <c r="ED31" s="141"/>
      <c r="EE31" s="141"/>
      <c r="EF31" s="142"/>
      <c r="EG31" s="141"/>
      <c r="EH31" s="141"/>
      <c r="EI31" s="141"/>
      <c r="EJ31" s="142"/>
      <c r="EK31" s="141"/>
      <c r="EL31" s="142">
        <v>1.0</v>
      </c>
      <c r="EM31" s="141"/>
      <c r="EN31" s="141"/>
      <c r="EO31" s="141"/>
      <c r="EP31" s="141"/>
      <c r="EQ31" s="141"/>
      <c r="ER31" s="141"/>
      <c r="ES31" s="141"/>
      <c r="ET31" s="141"/>
      <c r="EU31" s="141"/>
      <c r="EV31" s="141"/>
      <c r="EW31" s="141"/>
      <c r="EX31" s="141"/>
      <c r="EY31" s="141"/>
      <c r="EZ31" s="141"/>
      <c r="FA31" s="141"/>
      <c r="FB31" s="141"/>
      <c r="FC31" s="141"/>
      <c r="FD31" s="141"/>
      <c r="FE31" s="107">
        <f t="shared" si="10"/>
        <v>1000</v>
      </c>
      <c r="FF31" s="74"/>
      <c r="FG31" s="75"/>
      <c r="FH31" s="108"/>
      <c r="FI31" s="132" t="s">
        <v>9</v>
      </c>
      <c r="FJ31" s="27"/>
      <c r="FK31" s="27"/>
      <c r="FL31" s="28"/>
      <c r="FM31" s="133" t="s">
        <v>145</v>
      </c>
      <c r="FN31" s="134"/>
      <c r="FO31" s="135"/>
      <c r="FP31" s="133" t="s">
        <v>146</v>
      </c>
      <c r="FQ31" s="134"/>
      <c r="FR31" s="135"/>
      <c r="FS31" s="133" t="s">
        <v>147</v>
      </c>
      <c r="FT31" s="134"/>
      <c r="FU31" s="135"/>
      <c r="FV31" s="133" t="s">
        <v>148</v>
      </c>
      <c r="FW31" s="134"/>
      <c r="FX31" s="135"/>
      <c r="FY31" s="133" t="s">
        <v>149</v>
      </c>
      <c r="FZ31" s="134"/>
      <c r="GA31" s="135"/>
      <c r="GB31" s="133" t="s">
        <v>150</v>
      </c>
      <c r="GC31" s="134"/>
      <c r="GD31" s="135"/>
      <c r="GE31" s="133" t="s">
        <v>151</v>
      </c>
      <c r="GF31" s="134"/>
      <c r="GG31" s="135"/>
      <c r="GH31" s="133" t="s">
        <v>152</v>
      </c>
      <c r="GI31" s="134"/>
      <c r="GJ31" s="135"/>
      <c r="GK31" s="133" t="s">
        <v>153</v>
      </c>
      <c r="GL31" s="134"/>
      <c r="GM31" s="135"/>
      <c r="GN31" s="133" t="s">
        <v>154</v>
      </c>
      <c r="GO31" s="134"/>
      <c r="GP31" s="135"/>
      <c r="GQ31" s="133" t="s">
        <v>69</v>
      </c>
      <c r="GR31" s="134"/>
      <c r="GS31" s="135"/>
      <c r="GT31" s="133" t="s">
        <v>69</v>
      </c>
      <c r="GU31" s="134"/>
      <c r="GV31" s="135"/>
      <c r="GW31" s="133" t="s">
        <v>69</v>
      </c>
      <c r="GX31" s="134"/>
      <c r="GY31" s="135"/>
      <c r="GZ31" s="133" t="s">
        <v>69</v>
      </c>
      <c r="HA31" s="134"/>
      <c r="HB31" s="135"/>
      <c r="HC31" s="133" t="s">
        <v>69</v>
      </c>
      <c r="HD31" s="134"/>
      <c r="HE31" s="135"/>
      <c r="HF31" s="359"/>
    </row>
    <row r="32" ht="15.0" customHeight="1">
      <c r="C32" s="143" t="s">
        <v>52</v>
      </c>
      <c r="D32" s="134"/>
      <c r="E32" s="134"/>
      <c r="F32" s="134"/>
      <c r="G32" s="134"/>
      <c r="H32" s="134"/>
      <c r="I32" s="134"/>
      <c r="J32" s="134"/>
      <c r="K32" s="134"/>
      <c r="L32" s="13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361"/>
      <c r="Y32" s="361"/>
      <c r="Z32" s="145"/>
      <c r="AA32" s="145"/>
      <c r="AB32" s="361"/>
      <c r="AC32" s="145"/>
      <c r="AD32" s="361"/>
      <c r="AE32" s="145"/>
      <c r="AF32" s="145"/>
      <c r="AG32" s="361"/>
      <c r="AH32" s="145"/>
      <c r="AI32" s="145"/>
      <c r="AJ32" s="145"/>
      <c r="AK32" s="145"/>
      <c r="AL32" s="145"/>
      <c r="AM32" s="145"/>
      <c r="AN32" s="144"/>
      <c r="AO32" s="145"/>
      <c r="AP32" s="145"/>
      <c r="AQ32" s="144"/>
      <c r="AR32" s="31"/>
      <c r="AS32" s="77" t="s">
        <v>73</v>
      </c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5"/>
      <c r="BF32" s="80" t="str">
        <f>BF29/BF27</f>
        <v>#DIV/0!</v>
      </c>
      <c r="BG32" s="74"/>
      <c r="BH32" s="75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146"/>
      <c r="CN32" s="146"/>
      <c r="CO32" s="362"/>
      <c r="CP32" s="362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48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36"/>
      <c r="EY32" s="136"/>
      <c r="EZ32" s="136"/>
      <c r="FA32" s="136"/>
      <c r="FB32" s="136"/>
      <c r="FC32" s="150" t="s">
        <v>24</v>
      </c>
      <c r="FD32" s="75"/>
      <c r="FE32" s="151">
        <f>sum(FE26:FE31)</f>
        <v>2500</v>
      </c>
      <c r="FF32" s="74"/>
      <c r="FG32" s="75"/>
      <c r="FH32" s="152"/>
      <c r="FI32" s="57"/>
      <c r="FJ32" s="39"/>
      <c r="FK32" s="39"/>
      <c r="FL32" s="40"/>
      <c r="FM32" s="58"/>
      <c r="FN32" s="59"/>
      <c r="FO32" s="60"/>
      <c r="FP32" s="58"/>
      <c r="FQ32" s="59"/>
      <c r="FR32" s="60"/>
      <c r="FS32" s="58"/>
      <c r="FT32" s="59"/>
      <c r="FU32" s="60"/>
      <c r="FV32" s="58"/>
      <c r="FW32" s="59"/>
      <c r="FX32" s="60"/>
      <c r="FY32" s="58"/>
      <c r="FZ32" s="59"/>
      <c r="GA32" s="60"/>
      <c r="GB32" s="58"/>
      <c r="GC32" s="59"/>
      <c r="GD32" s="60"/>
      <c r="GE32" s="58"/>
      <c r="GF32" s="59"/>
      <c r="GG32" s="60"/>
      <c r="GH32" s="58"/>
      <c r="GI32" s="59"/>
      <c r="GJ32" s="60"/>
      <c r="GK32" s="58"/>
      <c r="GL32" s="59"/>
      <c r="GM32" s="60"/>
      <c r="GN32" s="58"/>
      <c r="GO32" s="59"/>
      <c r="GP32" s="60"/>
      <c r="GQ32" s="58"/>
      <c r="GR32" s="59"/>
      <c r="GS32" s="60"/>
      <c r="GT32" s="58"/>
      <c r="GU32" s="59"/>
      <c r="GV32" s="60"/>
      <c r="GW32" s="58"/>
      <c r="GX32" s="59"/>
      <c r="GY32" s="60"/>
      <c r="GZ32" s="58"/>
      <c r="HA32" s="59"/>
      <c r="HB32" s="60"/>
      <c r="HC32" s="58"/>
      <c r="HD32" s="59"/>
      <c r="HE32" s="60"/>
      <c r="HF32" s="363"/>
    </row>
    <row r="33" ht="15.0" customHeight="1">
      <c r="C33" s="153"/>
      <c r="L33" s="35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31"/>
      <c r="AS33" s="77" t="s">
        <v>74</v>
      </c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5"/>
      <c r="BF33" s="78"/>
      <c r="BG33" s="74"/>
      <c r="BH33" s="75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146"/>
      <c r="CN33" s="146"/>
      <c r="CO33" s="362"/>
      <c r="CP33" s="362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148"/>
      <c r="EP33" s="148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157"/>
      <c r="FF33" s="158"/>
      <c r="FG33" s="31"/>
      <c r="FH33" s="31"/>
      <c r="FI33" s="72" t="s">
        <v>21</v>
      </c>
      <c r="FJ33" s="27"/>
      <c r="FK33" s="27"/>
      <c r="FL33" s="28"/>
      <c r="FM33" s="155">
        <v>2000.0</v>
      </c>
      <c r="FN33" s="74"/>
      <c r="FO33" s="75"/>
      <c r="FP33" s="156">
        <v>1000.0</v>
      </c>
      <c r="FQ33" s="74"/>
      <c r="FR33" s="75"/>
      <c r="FS33" s="156">
        <v>2000.0</v>
      </c>
      <c r="FT33" s="74"/>
      <c r="FU33" s="75"/>
      <c r="FV33" s="156">
        <v>2000.0</v>
      </c>
      <c r="FW33" s="74"/>
      <c r="FX33" s="75"/>
      <c r="FY33" s="156">
        <v>5000.0</v>
      </c>
      <c r="FZ33" s="74"/>
      <c r="GA33" s="75"/>
      <c r="GB33" s="156">
        <v>2000.0</v>
      </c>
      <c r="GC33" s="74"/>
      <c r="GD33" s="75"/>
      <c r="GE33" s="156">
        <v>2000.0</v>
      </c>
      <c r="GF33" s="74"/>
      <c r="GG33" s="75"/>
      <c r="GH33" s="156">
        <v>2000.0</v>
      </c>
      <c r="GI33" s="74"/>
      <c r="GJ33" s="75"/>
      <c r="GK33" s="156">
        <v>1000.0</v>
      </c>
      <c r="GL33" s="74"/>
      <c r="GM33" s="75"/>
      <c r="GN33" s="156">
        <v>1000.0</v>
      </c>
      <c r="GO33" s="74"/>
      <c r="GP33" s="75"/>
      <c r="GQ33" s="156"/>
      <c r="GR33" s="74"/>
      <c r="GS33" s="75"/>
      <c r="GT33" s="156"/>
      <c r="GU33" s="74"/>
      <c r="GV33" s="75"/>
      <c r="GW33" s="156"/>
      <c r="GX33" s="74"/>
      <c r="GY33" s="75"/>
      <c r="GZ33" s="156"/>
      <c r="HA33" s="74"/>
      <c r="HB33" s="75"/>
      <c r="HC33" s="156"/>
      <c r="HD33" s="74"/>
      <c r="HE33" s="75"/>
      <c r="HF33" s="364"/>
    </row>
    <row r="34" ht="15.0" customHeight="1">
      <c r="C34" s="153"/>
      <c r="L34" s="35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31"/>
      <c r="AS34" s="77" t="s">
        <v>75</v>
      </c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5"/>
      <c r="BF34" s="80"/>
      <c r="BG34" s="74"/>
      <c r="BH34" s="75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146"/>
      <c r="CN34" s="146"/>
      <c r="CO34" s="362"/>
      <c r="CP34" s="362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148"/>
      <c r="EP34" s="148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157"/>
      <c r="FF34" s="158"/>
      <c r="FG34" s="31"/>
      <c r="FH34" s="31"/>
      <c r="FI34" s="159">
        <v>20.0</v>
      </c>
      <c r="FJ34" s="5"/>
      <c r="FK34" s="5"/>
      <c r="FL34" s="160" t="s">
        <v>37</v>
      </c>
      <c r="FM34" s="161">
        <f>FM33*FI34/100</f>
        <v>400</v>
      </c>
      <c r="FN34" s="74"/>
      <c r="FO34" s="75"/>
      <c r="FP34" s="161">
        <f>FP33*FI34/100</f>
        <v>200</v>
      </c>
      <c r="FQ34" s="74"/>
      <c r="FR34" s="75"/>
      <c r="FS34" s="161">
        <f>FS33*FI34/100</f>
        <v>400</v>
      </c>
      <c r="FT34" s="74"/>
      <c r="FU34" s="75"/>
      <c r="FV34" s="161">
        <f>FV33*FI34/100</f>
        <v>400</v>
      </c>
      <c r="FW34" s="74"/>
      <c r="FX34" s="75"/>
      <c r="FY34" s="161">
        <f>FY33*FI34/100</f>
        <v>1000</v>
      </c>
      <c r="FZ34" s="74"/>
      <c r="GA34" s="75"/>
      <c r="GB34" s="161">
        <f>GB33*FI34/100</f>
        <v>400</v>
      </c>
      <c r="GC34" s="74"/>
      <c r="GD34" s="75"/>
      <c r="GE34" s="161">
        <f>GE33*FI34/100</f>
        <v>400</v>
      </c>
      <c r="GF34" s="74"/>
      <c r="GG34" s="75"/>
      <c r="GH34" s="161">
        <f>GH33*FI34/100</f>
        <v>400</v>
      </c>
      <c r="GI34" s="74"/>
      <c r="GJ34" s="75"/>
      <c r="GK34" s="161">
        <f>GK33*FI34/100</f>
        <v>200</v>
      </c>
      <c r="GL34" s="74"/>
      <c r="GM34" s="75"/>
      <c r="GN34" s="161">
        <f>GN33*FI34/100</f>
        <v>200</v>
      </c>
      <c r="GO34" s="74"/>
      <c r="GP34" s="75"/>
      <c r="GQ34" s="161">
        <f>GQ33*FI34/100</f>
        <v>0</v>
      </c>
      <c r="GR34" s="74"/>
      <c r="GS34" s="75"/>
      <c r="GT34" s="161">
        <f>GT33*FI34/100</f>
        <v>0</v>
      </c>
      <c r="GU34" s="74"/>
      <c r="GV34" s="75"/>
      <c r="GW34" s="161">
        <f>GW33*FI34/100</f>
        <v>0</v>
      </c>
      <c r="GX34" s="74"/>
      <c r="GY34" s="75"/>
      <c r="GZ34" s="161">
        <f>GZ33*FI34/100</f>
        <v>0</v>
      </c>
      <c r="HA34" s="74"/>
      <c r="HB34" s="75"/>
      <c r="HC34" s="161">
        <f>HC33*FI34/100</f>
        <v>0</v>
      </c>
      <c r="HD34" s="74"/>
      <c r="HE34" s="75"/>
      <c r="HF34" s="365"/>
    </row>
    <row r="35" ht="15.0" customHeight="1">
      <c r="C35" s="58"/>
      <c r="D35" s="59"/>
      <c r="E35" s="59"/>
      <c r="F35" s="59"/>
      <c r="G35" s="59"/>
      <c r="H35" s="59"/>
      <c r="I35" s="59"/>
      <c r="J35" s="59"/>
      <c r="K35" s="59"/>
      <c r="L35" s="60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31"/>
      <c r="AS35" s="77" t="s">
        <v>76</v>
      </c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  <c r="BF35" s="82" t="str">
        <f>(BF27/BF28)</f>
        <v>#DIV/0!</v>
      </c>
      <c r="BG35" s="74"/>
      <c r="BH35" s="75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146"/>
      <c r="CN35" s="146"/>
      <c r="CO35" s="362"/>
      <c r="CP35" s="362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148"/>
      <c r="EP35" s="148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157"/>
      <c r="FF35" s="158"/>
      <c r="FG35" s="31"/>
      <c r="FH35" s="31"/>
      <c r="FI35" s="148"/>
      <c r="FJ35" s="148"/>
      <c r="FK35" s="148"/>
      <c r="FL35" s="148"/>
      <c r="FM35" s="148"/>
      <c r="FN35" s="148"/>
      <c r="FO35" s="148"/>
      <c r="FP35" s="148"/>
      <c r="FQ35" s="148"/>
      <c r="FR35" s="148"/>
      <c r="FS35" s="148"/>
      <c r="FT35" s="148"/>
      <c r="FU35" s="148"/>
      <c r="FV35" s="148"/>
      <c r="FW35" s="148"/>
      <c r="FX35" s="148"/>
      <c r="FY35" s="148"/>
      <c r="FZ35" s="148"/>
      <c r="GA35" s="148"/>
      <c r="GB35" s="148"/>
      <c r="GC35" s="148"/>
      <c r="GD35" s="148"/>
      <c r="GE35" s="148"/>
      <c r="GF35" s="148"/>
      <c r="GG35" s="148"/>
      <c r="GH35" s="148"/>
      <c r="GI35" s="148"/>
      <c r="GJ35" s="148"/>
      <c r="GK35" s="148"/>
      <c r="GL35" s="148"/>
      <c r="GM35" s="148"/>
      <c r="GN35" s="148"/>
      <c r="GO35" s="148"/>
      <c r="GP35" s="148"/>
      <c r="GQ35" s="148"/>
      <c r="GR35" s="148"/>
      <c r="GS35" s="148"/>
      <c r="GT35" s="148"/>
      <c r="GU35" s="148"/>
      <c r="GV35" s="148"/>
      <c r="GW35" s="148"/>
      <c r="GX35" s="148"/>
      <c r="GY35" s="148"/>
      <c r="GZ35" s="148"/>
      <c r="HA35" s="148"/>
      <c r="HB35" s="148"/>
      <c r="HC35" s="148"/>
      <c r="HD35" s="148"/>
      <c r="HE35" s="148"/>
      <c r="HF35" s="364"/>
    </row>
    <row r="36" ht="15.0" customHeight="1">
      <c r="A36" s="367"/>
      <c r="B36" s="367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146"/>
      <c r="CN36" s="146"/>
      <c r="CO36" s="368"/>
      <c r="CP36" s="368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148"/>
      <c r="EP36" s="148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157"/>
      <c r="FF36" s="158"/>
      <c r="FG36" s="31"/>
      <c r="FH36" s="31"/>
      <c r="FI36" s="170"/>
      <c r="FJ36" s="148"/>
      <c r="FK36" s="148"/>
      <c r="FL36" s="148"/>
      <c r="FM36" s="171"/>
      <c r="FN36" s="148"/>
      <c r="FO36" s="148"/>
      <c r="FP36" s="171"/>
      <c r="FQ36" s="148"/>
      <c r="FR36" s="148"/>
      <c r="FS36" s="171"/>
      <c r="FT36" s="148"/>
      <c r="FU36" s="148"/>
      <c r="FV36" s="171"/>
      <c r="FW36" s="148"/>
      <c r="FX36" s="148"/>
      <c r="FY36" s="171"/>
      <c r="FZ36" s="148"/>
      <c r="GA36" s="148"/>
      <c r="GB36" s="171"/>
      <c r="GC36" s="148"/>
      <c r="GD36" s="148"/>
      <c r="GE36" s="171"/>
      <c r="GF36" s="148"/>
      <c r="GG36" s="148"/>
      <c r="GH36" s="171"/>
      <c r="GI36" s="148"/>
      <c r="GJ36" s="148"/>
      <c r="GK36" s="171"/>
      <c r="GL36" s="148"/>
      <c r="GM36" s="148"/>
      <c r="GN36" s="171"/>
      <c r="GO36" s="148"/>
      <c r="GP36" s="148"/>
      <c r="GQ36" s="171"/>
      <c r="GR36" s="148"/>
      <c r="GS36" s="148"/>
      <c r="GT36" s="171"/>
      <c r="GU36" s="148"/>
      <c r="GV36" s="148"/>
      <c r="GW36" s="171"/>
      <c r="GX36" s="148"/>
      <c r="GY36" s="148"/>
      <c r="GZ36" s="171"/>
      <c r="HA36" s="148"/>
      <c r="HB36" s="148"/>
      <c r="HC36" s="171"/>
      <c r="HD36" s="148"/>
      <c r="HE36" s="148"/>
      <c r="HF36" s="148"/>
    </row>
    <row r="37" ht="15.0" customHeight="1">
      <c r="A37" s="369"/>
      <c r="B37" s="369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0"/>
      <c r="AD37" s="370"/>
      <c r="AE37" s="370"/>
      <c r="AF37" s="370"/>
      <c r="AG37" s="370"/>
      <c r="AH37" s="370"/>
      <c r="AI37" s="370"/>
      <c r="AJ37" s="370"/>
      <c r="AK37" s="370"/>
      <c r="AL37" s="370"/>
      <c r="AM37" s="370"/>
      <c r="AN37" s="370"/>
      <c r="AO37" s="370"/>
      <c r="AP37" s="370"/>
      <c r="AQ37" s="370"/>
      <c r="AR37" s="370"/>
      <c r="AS37" s="370"/>
      <c r="AT37" s="370"/>
      <c r="AU37" s="370"/>
      <c r="AV37" s="370"/>
      <c r="AW37" s="370"/>
      <c r="AX37" s="370"/>
      <c r="AY37" s="370"/>
      <c r="AZ37" s="370"/>
      <c r="BA37" s="370"/>
      <c r="BB37" s="370"/>
      <c r="BC37" s="370"/>
      <c r="BD37" s="370"/>
      <c r="BE37" s="370"/>
      <c r="BF37" s="370"/>
      <c r="BG37" s="370"/>
      <c r="BH37" s="370"/>
      <c r="BI37" s="370"/>
      <c r="BJ37" s="370"/>
      <c r="BK37" s="370"/>
      <c r="BL37" s="370"/>
      <c r="BM37" s="370"/>
      <c r="BN37" s="370"/>
      <c r="BO37" s="370"/>
      <c r="BP37" s="370"/>
      <c r="BQ37" s="370"/>
      <c r="BR37" s="370"/>
      <c r="BS37" s="370"/>
      <c r="BT37" s="370"/>
      <c r="BU37" s="370"/>
      <c r="BV37" s="370"/>
      <c r="BW37" s="370"/>
      <c r="BX37" s="370"/>
      <c r="BY37" s="370"/>
      <c r="BZ37" s="370"/>
      <c r="CA37" s="370"/>
      <c r="CB37" s="370"/>
      <c r="CC37" s="370"/>
      <c r="CD37" s="370"/>
      <c r="CE37" s="370"/>
      <c r="CF37" s="370"/>
      <c r="CG37" s="370"/>
      <c r="CH37" s="370"/>
      <c r="CI37" s="370"/>
      <c r="CJ37" s="370"/>
      <c r="CK37" s="370"/>
      <c r="CL37" s="370"/>
      <c r="CM37" s="371"/>
      <c r="CN37" s="371"/>
      <c r="CO37" s="372"/>
      <c r="CP37" s="372"/>
      <c r="CQ37" s="370"/>
      <c r="CR37" s="370"/>
      <c r="CS37" s="370"/>
      <c r="CT37" s="370"/>
      <c r="CU37" s="370"/>
      <c r="CV37" s="370"/>
      <c r="CW37" s="370"/>
      <c r="CX37" s="370"/>
      <c r="CY37" s="370"/>
      <c r="CZ37" s="370"/>
      <c r="DA37" s="370"/>
      <c r="DB37" s="370"/>
      <c r="DC37" s="370"/>
      <c r="DD37" s="370"/>
      <c r="DE37" s="370"/>
      <c r="DF37" s="370"/>
      <c r="DG37" s="370"/>
      <c r="DH37" s="370"/>
      <c r="DI37" s="370"/>
      <c r="DJ37" s="370"/>
      <c r="DK37" s="370"/>
      <c r="DL37" s="370"/>
      <c r="DM37" s="370"/>
      <c r="DN37" s="370"/>
      <c r="DO37" s="370"/>
      <c r="DP37" s="370"/>
      <c r="DQ37" s="370"/>
      <c r="DR37" s="370"/>
      <c r="DS37" s="370"/>
      <c r="DT37" s="370"/>
      <c r="DU37" s="370"/>
      <c r="DV37" s="370"/>
      <c r="DW37" s="370"/>
      <c r="DX37" s="370"/>
      <c r="DY37" s="370"/>
      <c r="DZ37" s="370"/>
      <c r="EA37" s="370"/>
      <c r="EB37" s="370"/>
      <c r="EC37" s="370"/>
      <c r="ED37" s="370"/>
      <c r="EE37" s="370"/>
      <c r="EF37" s="370"/>
      <c r="EG37" s="370"/>
      <c r="EH37" s="370"/>
      <c r="EI37" s="370"/>
      <c r="EJ37" s="370"/>
      <c r="EK37" s="370"/>
      <c r="EL37" s="370"/>
      <c r="EM37" s="370"/>
      <c r="EN37" s="370"/>
      <c r="EO37" s="370"/>
      <c r="EP37" s="370"/>
      <c r="EQ37" s="370"/>
      <c r="ER37" s="370"/>
      <c r="ES37" s="370"/>
      <c r="ET37" s="370"/>
      <c r="EU37" s="370"/>
      <c r="EV37" s="370"/>
      <c r="EW37" s="370"/>
      <c r="EX37" s="370"/>
      <c r="EY37" s="370"/>
      <c r="EZ37" s="370"/>
      <c r="FA37" s="370"/>
      <c r="FB37" s="370"/>
      <c r="FC37" s="370"/>
      <c r="FD37" s="370"/>
      <c r="FE37" s="373"/>
      <c r="FF37" s="374"/>
      <c r="FG37" s="370"/>
      <c r="FH37" s="370"/>
      <c r="FI37" s="370"/>
      <c r="FJ37" s="370"/>
      <c r="FK37" s="370"/>
      <c r="FL37" s="370"/>
      <c r="FM37" s="375"/>
      <c r="FN37" s="370"/>
      <c r="FO37" s="370"/>
      <c r="FP37" s="375"/>
      <c r="FQ37" s="370"/>
      <c r="FR37" s="370"/>
      <c r="FS37" s="375"/>
      <c r="FT37" s="370"/>
      <c r="FU37" s="370"/>
      <c r="FV37" s="375"/>
      <c r="FW37" s="370"/>
      <c r="FX37" s="370"/>
      <c r="FY37" s="375"/>
      <c r="FZ37" s="370"/>
      <c r="GA37" s="370"/>
      <c r="GB37" s="375"/>
      <c r="GC37" s="370"/>
      <c r="GD37" s="370"/>
      <c r="GE37" s="375"/>
      <c r="GF37" s="370"/>
      <c r="GG37" s="370"/>
      <c r="GH37" s="375"/>
      <c r="GI37" s="370"/>
      <c r="GJ37" s="370"/>
      <c r="GK37" s="375"/>
      <c r="GL37" s="370"/>
      <c r="GM37" s="370"/>
      <c r="GN37" s="375"/>
      <c r="GO37" s="370"/>
      <c r="GP37" s="370"/>
      <c r="GQ37" s="375"/>
      <c r="GR37" s="370"/>
      <c r="GS37" s="370"/>
      <c r="GT37" s="375"/>
      <c r="GU37" s="370"/>
      <c r="GV37" s="370"/>
      <c r="GW37" s="375"/>
      <c r="GX37" s="370"/>
      <c r="GY37" s="370"/>
      <c r="GZ37" s="375"/>
      <c r="HA37" s="370"/>
      <c r="HB37" s="370"/>
      <c r="HC37" s="375"/>
      <c r="HD37" s="370"/>
      <c r="HE37" s="370"/>
      <c r="HF37" s="370"/>
    </row>
    <row r="38" ht="15.0" customHeight="1">
      <c r="A38" s="376"/>
      <c r="B38" s="376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377"/>
      <c r="AH38" s="377"/>
      <c r="AI38" s="377"/>
      <c r="AJ38" s="377"/>
      <c r="AK38" s="377"/>
      <c r="AL38" s="377"/>
      <c r="AM38" s="377"/>
      <c r="AN38" s="377"/>
      <c r="AO38" s="377"/>
      <c r="AP38" s="377"/>
      <c r="AQ38" s="377"/>
      <c r="AR38" s="377"/>
      <c r="AS38" s="377"/>
      <c r="AT38" s="377"/>
      <c r="AU38" s="377"/>
      <c r="AV38" s="377"/>
      <c r="AW38" s="377"/>
      <c r="AX38" s="377"/>
      <c r="AY38" s="377"/>
      <c r="AZ38" s="377"/>
      <c r="BA38" s="377"/>
      <c r="BB38" s="377"/>
      <c r="BC38" s="377"/>
      <c r="BD38" s="377"/>
      <c r="BE38" s="377"/>
      <c r="BF38" s="377"/>
      <c r="BG38" s="377"/>
      <c r="BH38" s="377"/>
      <c r="BI38" s="377"/>
      <c r="BJ38" s="377"/>
      <c r="BK38" s="377"/>
      <c r="BL38" s="377"/>
      <c r="BM38" s="377"/>
      <c r="BN38" s="377"/>
      <c r="BO38" s="377"/>
      <c r="BP38" s="377"/>
      <c r="BQ38" s="377"/>
      <c r="BR38" s="377"/>
      <c r="BS38" s="377"/>
      <c r="BT38" s="377"/>
      <c r="BU38" s="377"/>
      <c r="BV38" s="377"/>
      <c r="BW38" s="377"/>
      <c r="BX38" s="377"/>
      <c r="BY38" s="377"/>
      <c r="BZ38" s="377"/>
      <c r="CA38" s="377"/>
      <c r="CB38" s="377"/>
      <c r="CC38" s="377"/>
      <c r="CD38" s="377"/>
      <c r="CE38" s="377"/>
      <c r="CF38" s="377"/>
      <c r="CG38" s="377"/>
      <c r="CH38" s="377"/>
      <c r="CI38" s="377"/>
      <c r="CJ38" s="377"/>
      <c r="CK38" s="377"/>
      <c r="CL38" s="377"/>
      <c r="CM38" s="378"/>
      <c r="CN38" s="378"/>
      <c r="CO38" s="362"/>
      <c r="CP38" s="362"/>
      <c r="CQ38" s="377"/>
      <c r="CR38" s="377"/>
      <c r="CS38" s="377"/>
      <c r="CT38" s="377"/>
      <c r="CU38" s="377"/>
      <c r="CV38" s="377"/>
      <c r="CW38" s="377"/>
      <c r="CX38" s="377"/>
      <c r="CY38" s="377"/>
      <c r="CZ38" s="377"/>
      <c r="DA38" s="377"/>
      <c r="DB38" s="377"/>
      <c r="DC38" s="377"/>
      <c r="DD38" s="377"/>
      <c r="DE38" s="377"/>
      <c r="DF38" s="377"/>
      <c r="DG38" s="377"/>
      <c r="DH38" s="377"/>
      <c r="DI38" s="377"/>
      <c r="DJ38" s="377"/>
      <c r="DK38" s="377"/>
      <c r="DL38" s="377"/>
      <c r="DM38" s="377"/>
      <c r="DN38" s="377"/>
      <c r="DO38" s="377"/>
      <c r="DP38" s="377"/>
      <c r="DQ38" s="377"/>
      <c r="DR38" s="377"/>
      <c r="DS38" s="377"/>
      <c r="DT38" s="377"/>
      <c r="DU38" s="377"/>
      <c r="DV38" s="377"/>
      <c r="DW38" s="377"/>
      <c r="DX38" s="377"/>
      <c r="DY38" s="377"/>
      <c r="DZ38" s="377"/>
      <c r="EA38" s="377"/>
      <c r="EB38" s="377"/>
      <c r="EC38" s="377"/>
      <c r="ED38" s="377"/>
      <c r="EE38" s="377"/>
      <c r="EF38" s="377"/>
      <c r="EG38" s="377"/>
      <c r="EH38" s="377"/>
      <c r="EI38" s="377"/>
      <c r="EJ38" s="377"/>
      <c r="EK38" s="377"/>
      <c r="EL38" s="377"/>
      <c r="EM38" s="377"/>
      <c r="EN38" s="377"/>
      <c r="EO38" s="377"/>
      <c r="EP38" s="377"/>
      <c r="EQ38" s="377"/>
      <c r="ER38" s="377"/>
      <c r="ES38" s="377"/>
      <c r="ET38" s="377"/>
      <c r="EU38" s="377"/>
      <c r="EV38" s="377"/>
      <c r="EW38" s="377"/>
      <c r="EX38" s="377"/>
      <c r="EY38" s="377"/>
      <c r="EZ38" s="377"/>
      <c r="FA38" s="377"/>
      <c r="FB38" s="377"/>
      <c r="FC38" s="377"/>
      <c r="FD38" s="377"/>
      <c r="FE38" s="379"/>
      <c r="FF38" s="379"/>
      <c r="FG38" s="377"/>
      <c r="FH38" s="377"/>
      <c r="FI38" s="380"/>
      <c r="FJ38" s="381"/>
      <c r="FK38" s="381"/>
      <c r="FL38" s="381"/>
      <c r="FM38" s="380"/>
      <c r="FN38" s="381"/>
      <c r="FO38" s="381"/>
      <c r="FP38" s="380"/>
      <c r="FQ38" s="381"/>
      <c r="FR38" s="381"/>
      <c r="FS38" s="380"/>
      <c r="FT38" s="381"/>
      <c r="FU38" s="381"/>
      <c r="FV38" s="380"/>
      <c r="FW38" s="381"/>
      <c r="FX38" s="381"/>
      <c r="FY38" s="380"/>
      <c r="FZ38" s="381"/>
      <c r="GA38" s="381"/>
      <c r="GB38" s="380"/>
      <c r="GC38" s="381"/>
      <c r="GD38" s="381"/>
      <c r="GE38" s="380"/>
      <c r="GF38" s="381"/>
      <c r="GG38" s="381"/>
      <c r="GH38" s="380"/>
      <c r="GI38" s="381"/>
      <c r="GJ38" s="381"/>
      <c r="GK38" s="380"/>
      <c r="GL38" s="381"/>
      <c r="GM38" s="381"/>
      <c r="GN38" s="380"/>
      <c r="GO38" s="381"/>
      <c r="GP38" s="381"/>
      <c r="GQ38" s="380"/>
      <c r="GR38" s="381"/>
      <c r="GS38" s="381"/>
      <c r="GT38" s="380"/>
      <c r="GU38" s="381"/>
      <c r="GV38" s="381"/>
      <c r="GW38" s="380"/>
      <c r="GX38" s="381"/>
      <c r="GY38" s="381"/>
      <c r="GZ38" s="380"/>
      <c r="HA38" s="381"/>
      <c r="HB38" s="381"/>
      <c r="HC38" s="380"/>
      <c r="HD38" s="381"/>
      <c r="HE38" s="381"/>
      <c r="HF38" s="381"/>
    </row>
    <row r="39" ht="15.0" customHeight="1">
      <c r="A39" s="382"/>
      <c r="B39" s="382"/>
      <c r="C39" s="192" t="s">
        <v>0</v>
      </c>
      <c r="AR39" s="193"/>
      <c r="AS39" s="195" t="s">
        <v>2</v>
      </c>
      <c r="BX39" s="193"/>
      <c r="BY39" s="192" t="s">
        <v>3</v>
      </c>
      <c r="CQ39" s="193"/>
      <c r="CR39" s="192" t="s">
        <v>4</v>
      </c>
      <c r="DK39" s="193"/>
      <c r="DL39" s="195" t="s">
        <v>155</v>
      </c>
      <c r="FE39" s="196"/>
      <c r="FF39" s="196"/>
      <c r="FG39" s="197"/>
      <c r="FH39" s="198"/>
      <c r="FI39" s="194" t="s">
        <v>1</v>
      </c>
      <c r="HF39" s="383"/>
    </row>
    <row r="40" ht="15.0" customHeight="1">
      <c r="A40" s="355" t="s">
        <v>156</v>
      </c>
      <c r="C40" s="26" t="s">
        <v>7</v>
      </c>
      <c r="D40" s="27"/>
      <c r="E40" s="27"/>
      <c r="F40" s="27"/>
      <c r="G40" s="27"/>
      <c r="H40" s="27"/>
      <c r="I40" s="27"/>
      <c r="J40" s="27"/>
      <c r="K40" s="28"/>
      <c r="L40" s="29" t="s">
        <v>8</v>
      </c>
      <c r="M40" s="387">
        <v>44287.0</v>
      </c>
      <c r="N40" s="387">
        <v>44288.0</v>
      </c>
      <c r="O40" s="387">
        <v>44289.0</v>
      </c>
      <c r="P40" s="387">
        <v>44290.0</v>
      </c>
      <c r="Q40" s="387">
        <v>44291.0</v>
      </c>
      <c r="R40" s="387">
        <v>44292.0</v>
      </c>
      <c r="S40" s="387">
        <v>44293.0</v>
      </c>
      <c r="T40" s="387">
        <v>44294.0</v>
      </c>
      <c r="U40" s="387">
        <v>44295.0</v>
      </c>
      <c r="V40" s="387">
        <v>44296.0</v>
      </c>
      <c r="W40" s="387">
        <v>44297.0</v>
      </c>
      <c r="X40" s="387">
        <v>44298.0</v>
      </c>
      <c r="Y40" s="387">
        <v>44299.0</v>
      </c>
      <c r="Z40" s="387">
        <v>44300.0</v>
      </c>
      <c r="AA40" s="387">
        <v>44301.0</v>
      </c>
      <c r="AB40" s="387">
        <v>44302.0</v>
      </c>
      <c r="AC40" s="387">
        <v>44303.0</v>
      </c>
      <c r="AD40" s="387">
        <v>44304.0</v>
      </c>
      <c r="AE40" s="387">
        <v>44305.0</v>
      </c>
      <c r="AF40" s="387">
        <v>44306.0</v>
      </c>
      <c r="AG40" s="387">
        <v>44307.0</v>
      </c>
      <c r="AH40" s="387">
        <v>44308.0</v>
      </c>
      <c r="AI40" s="387">
        <v>44309.0</v>
      </c>
      <c r="AJ40" s="387">
        <v>44310.0</v>
      </c>
      <c r="AK40" s="387">
        <v>44311.0</v>
      </c>
      <c r="AL40" s="387">
        <v>44312.0</v>
      </c>
      <c r="AM40" s="387">
        <v>44313.0</v>
      </c>
      <c r="AN40" s="387">
        <v>44314.0</v>
      </c>
      <c r="AO40" s="387">
        <v>44315.0</v>
      </c>
      <c r="AP40" s="387">
        <v>44316.0</v>
      </c>
      <c r="AQ40" s="387">
        <v>44317.0</v>
      </c>
      <c r="AR40" s="31"/>
      <c r="AS40" s="201" t="s">
        <v>11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6"/>
      <c r="BF40" s="202" t="s">
        <v>12</v>
      </c>
      <c r="BG40" s="5"/>
      <c r="BH40" s="6"/>
      <c r="BI40" s="202" t="s">
        <v>13</v>
      </c>
      <c r="BJ40" s="5"/>
      <c r="BK40" s="6"/>
      <c r="BL40" s="204" t="s">
        <v>15</v>
      </c>
      <c r="BM40" s="5"/>
      <c r="BN40" s="6"/>
      <c r="BO40" s="203" t="s">
        <v>14</v>
      </c>
      <c r="BP40" s="5"/>
      <c r="BQ40" s="6"/>
      <c r="BR40" s="203" t="s">
        <v>16</v>
      </c>
      <c r="BS40" s="5"/>
      <c r="BT40" s="6"/>
      <c r="BU40" s="205" t="s">
        <v>17</v>
      </c>
      <c r="BV40" s="5"/>
      <c r="BW40" s="6"/>
      <c r="BX40" s="31"/>
      <c r="BY40" s="206" t="s">
        <v>18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6"/>
      <c r="CM40" s="207" t="s">
        <v>12</v>
      </c>
      <c r="CN40" s="6"/>
      <c r="CO40" s="208" t="s">
        <v>19</v>
      </c>
      <c r="CP40" s="6"/>
      <c r="CQ40" s="31"/>
      <c r="CR40" s="206" t="s">
        <v>20</v>
      </c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6"/>
      <c r="DH40" s="209" t="s">
        <v>21</v>
      </c>
      <c r="DI40" s="5"/>
      <c r="DJ40" s="6"/>
      <c r="DK40" s="31"/>
      <c r="DL40" s="49" t="s">
        <v>22</v>
      </c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8"/>
      <c r="DX40" s="50" t="s">
        <v>23</v>
      </c>
      <c r="DY40" s="28"/>
      <c r="DZ40" s="210">
        <v>44317.0</v>
      </c>
      <c r="EA40" s="210">
        <v>44318.0</v>
      </c>
      <c r="EB40" s="210">
        <v>44319.0</v>
      </c>
      <c r="EC40" s="210">
        <v>44320.0</v>
      </c>
      <c r="ED40" s="210">
        <v>44321.0</v>
      </c>
      <c r="EE40" s="210">
        <v>44322.0</v>
      </c>
      <c r="EF40" s="210">
        <v>44323.0</v>
      </c>
      <c r="EG40" s="210">
        <v>44324.0</v>
      </c>
      <c r="EH40" s="210">
        <v>44325.0</v>
      </c>
      <c r="EI40" s="210">
        <v>44326.0</v>
      </c>
      <c r="EJ40" s="210">
        <v>44327.0</v>
      </c>
      <c r="EK40" s="210">
        <v>44328.0</v>
      </c>
      <c r="EL40" s="210">
        <v>44329.0</v>
      </c>
      <c r="EM40" s="210">
        <v>44330.0</v>
      </c>
      <c r="EN40" s="210">
        <v>44331.0</v>
      </c>
      <c r="EO40" s="210">
        <v>44332.0</v>
      </c>
      <c r="EP40" s="210">
        <v>44333.0</v>
      </c>
      <c r="EQ40" s="210">
        <v>44334.0</v>
      </c>
      <c r="ER40" s="210">
        <v>44335.0</v>
      </c>
      <c r="ES40" s="210">
        <v>44336.0</v>
      </c>
      <c r="ET40" s="210">
        <v>44337.0</v>
      </c>
      <c r="EU40" s="210">
        <v>44338.0</v>
      </c>
      <c r="EV40" s="210">
        <v>44339.0</v>
      </c>
      <c r="EW40" s="210">
        <v>44340.0</v>
      </c>
      <c r="EX40" s="210">
        <v>44341.0</v>
      </c>
      <c r="EY40" s="210">
        <v>44342.0</v>
      </c>
      <c r="EZ40" s="210">
        <v>44343.0</v>
      </c>
      <c r="FA40" s="210">
        <v>44344.0</v>
      </c>
      <c r="FB40" s="210">
        <v>44345.0</v>
      </c>
      <c r="FC40" s="210">
        <v>44346.0</v>
      </c>
      <c r="FD40" s="210">
        <v>44347.0</v>
      </c>
      <c r="FE40" s="52" t="s">
        <v>24</v>
      </c>
      <c r="FH40" s="53"/>
      <c r="FI40" s="132" t="s">
        <v>9</v>
      </c>
      <c r="FJ40" s="27"/>
      <c r="FK40" s="27"/>
      <c r="FL40" s="28"/>
      <c r="FM40" s="199" t="s">
        <v>138</v>
      </c>
      <c r="FN40" s="134"/>
      <c r="FO40" s="135"/>
      <c r="FP40" s="199"/>
      <c r="FQ40" s="134"/>
      <c r="FR40" s="135"/>
      <c r="FS40" s="199"/>
      <c r="FT40" s="134"/>
      <c r="FU40" s="135"/>
      <c r="FV40" s="199"/>
      <c r="FW40" s="134"/>
      <c r="FX40" s="135"/>
      <c r="FY40" s="200"/>
      <c r="FZ40" s="134"/>
      <c r="GA40" s="135"/>
      <c r="GB40" s="200"/>
      <c r="GC40" s="134"/>
      <c r="GD40" s="135"/>
      <c r="GE40" s="200"/>
      <c r="GF40" s="134"/>
      <c r="GG40" s="135"/>
      <c r="GH40" s="200"/>
      <c r="GI40" s="134"/>
      <c r="GJ40" s="135"/>
      <c r="GK40" s="200"/>
      <c r="GL40" s="134"/>
      <c r="GM40" s="135"/>
      <c r="GN40" s="200"/>
      <c r="GO40" s="134"/>
      <c r="GP40" s="135"/>
      <c r="GQ40" s="200"/>
      <c r="GR40" s="134"/>
      <c r="GS40" s="135"/>
      <c r="GT40" s="200"/>
      <c r="GU40" s="134"/>
      <c r="GV40" s="135"/>
      <c r="GW40" s="200"/>
      <c r="GX40" s="134"/>
      <c r="GY40" s="135"/>
      <c r="GZ40" s="200"/>
      <c r="HA40" s="134"/>
      <c r="HB40" s="135"/>
      <c r="HC40" s="200"/>
      <c r="HD40" s="134"/>
      <c r="HE40" s="135"/>
      <c r="HF40" s="356"/>
    </row>
    <row r="41" ht="15.0" customHeight="1">
      <c r="C41" s="55"/>
      <c r="K41" s="33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31"/>
      <c r="AS41" s="62" t="s">
        <v>25</v>
      </c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60"/>
      <c r="BF41" s="63">
        <f t="shared" ref="BF41:BF46" si="11">SUM(M44:AQ44)</f>
        <v>0</v>
      </c>
      <c r="BG41" s="59"/>
      <c r="BH41" s="60"/>
      <c r="BI41" s="384">
        <v>0.0</v>
      </c>
      <c r="BJ41" s="59"/>
      <c r="BK41" s="60"/>
      <c r="BL41" s="63">
        <v>0.0</v>
      </c>
      <c r="BM41" s="59"/>
      <c r="BN41" s="60"/>
      <c r="BO41" s="65">
        <v>0.0</v>
      </c>
      <c r="BP41" s="59"/>
      <c r="BQ41" s="60"/>
      <c r="BR41" s="66">
        <v>0.0</v>
      </c>
      <c r="BS41" s="59"/>
      <c r="BT41" s="60"/>
      <c r="BU41" s="67">
        <f>(BI41-BF41)/'График'!AK12</f>
        <v>0</v>
      </c>
      <c r="BV41" s="59"/>
      <c r="BW41" s="60"/>
      <c r="BX41" s="31"/>
      <c r="BY41" s="68" t="s">
        <v>26</v>
      </c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60"/>
      <c r="CM41" s="66" t="str">
        <f>BF44*100/BF41</f>
        <v>#DIV/0!</v>
      </c>
      <c r="CN41" s="60"/>
      <c r="CO41" s="66" t="str">
        <f>((BF43*100/BF41)+CM23)/2</f>
        <v>#DIV/0!</v>
      </c>
      <c r="CP41" s="60"/>
      <c r="CQ41" s="31"/>
      <c r="CR41" s="68" t="s">
        <v>27</v>
      </c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60"/>
      <c r="DH41" s="71">
        <f>FE50</f>
        <v>0</v>
      </c>
      <c r="DI41" s="59"/>
      <c r="DJ41" s="60"/>
      <c r="DK41" s="31"/>
      <c r="DL41" s="55"/>
      <c r="DW41" s="33"/>
      <c r="DX41" s="55"/>
      <c r="DY41" s="33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H41" s="53"/>
      <c r="FI41" s="57"/>
      <c r="FJ41" s="39"/>
      <c r="FK41" s="39"/>
      <c r="FL41" s="40"/>
      <c r="FM41" s="58"/>
      <c r="FN41" s="59"/>
      <c r="FO41" s="60"/>
      <c r="FP41" s="58"/>
      <c r="FQ41" s="59"/>
      <c r="FR41" s="60"/>
      <c r="FS41" s="58"/>
      <c r="FT41" s="59"/>
      <c r="FU41" s="60"/>
      <c r="FV41" s="58"/>
      <c r="FW41" s="59"/>
      <c r="FX41" s="60"/>
      <c r="FY41" s="58"/>
      <c r="FZ41" s="59"/>
      <c r="GA41" s="60"/>
      <c r="GB41" s="58"/>
      <c r="GC41" s="59"/>
      <c r="GD41" s="60"/>
      <c r="GE41" s="58"/>
      <c r="GF41" s="59"/>
      <c r="GG41" s="60"/>
      <c r="GH41" s="58"/>
      <c r="GI41" s="59"/>
      <c r="GJ41" s="60"/>
      <c r="GK41" s="58"/>
      <c r="GL41" s="59"/>
      <c r="GM41" s="60"/>
      <c r="GN41" s="58"/>
      <c r="GO41" s="59"/>
      <c r="GP41" s="60"/>
      <c r="GQ41" s="58"/>
      <c r="GR41" s="59"/>
      <c r="GS41" s="60"/>
      <c r="GT41" s="58"/>
      <c r="GU41" s="59"/>
      <c r="GV41" s="60"/>
      <c r="GW41" s="58"/>
      <c r="GX41" s="59"/>
      <c r="GY41" s="60"/>
      <c r="GZ41" s="58"/>
      <c r="HA41" s="59"/>
      <c r="HB41" s="60"/>
      <c r="HC41" s="58"/>
      <c r="HD41" s="59"/>
      <c r="HE41" s="60"/>
      <c r="HF41" s="356"/>
    </row>
    <row r="42" ht="15.0" customHeight="1">
      <c r="C42" s="55"/>
      <c r="K42" s="33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31"/>
      <c r="AS42" s="77" t="s">
        <v>28</v>
      </c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5"/>
      <c r="BF42" s="78">
        <f t="shared" si="11"/>
        <v>0</v>
      </c>
      <c r="BG42" s="74"/>
      <c r="BH42" s="75"/>
      <c r="BI42" s="385">
        <v>60.0</v>
      </c>
      <c r="BJ42" s="74"/>
      <c r="BK42" s="75"/>
      <c r="BL42" s="78">
        <f t="shared" ref="BL42:BL45" si="12">IF(BF42&lt;BI42,BF42,IF(BF42&gt;=BI42,BI42))</f>
        <v>0</v>
      </c>
      <c r="BM42" s="74"/>
      <c r="BN42" s="75"/>
      <c r="BO42" s="80">
        <f t="shared" ref="BO42:BO45" si="13">2500*BR42/100</f>
        <v>0</v>
      </c>
      <c r="BP42" s="74"/>
      <c r="BQ42" s="75"/>
      <c r="BR42" s="81">
        <f t="shared" ref="BR42:BR45" si="14">BL42*100/BI42</f>
        <v>0</v>
      </c>
      <c r="BS42" s="74"/>
      <c r="BT42" s="75"/>
      <c r="BU42" s="67">
        <f>(BI42-BF42)/'График'!AK12</f>
        <v>2.608695652</v>
      </c>
      <c r="BV42" s="59"/>
      <c r="BW42" s="60"/>
      <c r="BX42" s="31"/>
      <c r="BY42" s="83" t="s">
        <v>29</v>
      </c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5"/>
      <c r="CM42" s="81" t="str">
        <f>BF43*100/BF41</f>
        <v>#DIV/0!</v>
      </c>
      <c r="CN42" s="75"/>
      <c r="CO42" s="81" t="str">
        <f>((BF43*100/BF41)+CM24)/2</f>
        <v>#DIV/0!</v>
      </c>
      <c r="CP42" s="75"/>
      <c r="CQ42" s="31"/>
      <c r="CR42" s="92" t="s">
        <v>30</v>
      </c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  <c r="DG42" s="75"/>
      <c r="DH42" s="85">
        <f>sum(BO42:BQ45,BO47)</f>
        <v>0</v>
      </c>
      <c r="DI42" s="74"/>
      <c r="DJ42" s="75"/>
      <c r="DK42" s="31"/>
      <c r="DL42" s="55"/>
      <c r="DW42" s="33"/>
      <c r="DX42" s="55"/>
      <c r="DY42" s="33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H42" s="53"/>
      <c r="FI42" s="72" t="s">
        <v>21</v>
      </c>
      <c r="FJ42" s="27"/>
      <c r="FK42" s="27"/>
      <c r="FL42" s="28"/>
      <c r="FM42" s="73"/>
      <c r="FN42" s="74"/>
      <c r="FO42" s="75"/>
      <c r="FP42" s="73"/>
      <c r="FQ42" s="74"/>
      <c r="FR42" s="75"/>
      <c r="FS42" s="73"/>
      <c r="FT42" s="74"/>
      <c r="FU42" s="75"/>
      <c r="FV42" s="73"/>
      <c r="FW42" s="74"/>
      <c r="FX42" s="75"/>
      <c r="FY42" s="76"/>
      <c r="FZ42" s="74"/>
      <c r="GA42" s="75"/>
      <c r="GB42" s="76"/>
      <c r="GC42" s="74"/>
      <c r="GD42" s="75"/>
      <c r="GE42" s="76"/>
      <c r="GF42" s="74"/>
      <c r="GG42" s="75"/>
      <c r="GH42" s="76"/>
      <c r="GI42" s="74"/>
      <c r="GJ42" s="75"/>
      <c r="GK42" s="76"/>
      <c r="GL42" s="74"/>
      <c r="GM42" s="75"/>
      <c r="GN42" s="76"/>
      <c r="GO42" s="74"/>
      <c r="GP42" s="75"/>
      <c r="GQ42" s="76"/>
      <c r="GR42" s="74"/>
      <c r="GS42" s="75"/>
      <c r="GT42" s="76"/>
      <c r="GU42" s="74"/>
      <c r="GV42" s="75"/>
      <c r="GW42" s="76"/>
      <c r="GX42" s="74"/>
      <c r="GY42" s="75"/>
      <c r="GZ42" s="76"/>
      <c r="HA42" s="74"/>
      <c r="HB42" s="75"/>
      <c r="HC42" s="76"/>
      <c r="HD42" s="74"/>
      <c r="HE42" s="75"/>
      <c r="HF42" s="356"/>
    </row>
    <row r="43" ht="15.0" customHeight="1">
      <c r="C43" s="57"/>
      <c r="D43" s="39"/>
      <c r="E43" s="39"/>
      <c r="F43" s="39"/>
      <c r="G43" s="39"/>
      <c r="H43" s="39"/>
      <c r="I43" s="39"/>
      <c r="J43" s="39"/>
      <c r="K43" s="40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31"/>
      <c r="AS43" s="91" t="s">
        <v>32</v>
      </c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5"/>
      <c r="BF43" s="78">
        <f t="shared" si="11"/>
        <v>0</v>
      </c>
      <c r="BG43" s="74"/>
      <c r="BH43" s="75"/>
      <c r="BI43" s="385">
        <v>30.0</v>
      </c>
      <c r="BJ43" s="74"/>
      <c r="BK43" s="75"/>
      <c r="BL43" s="78">
        <f t="shared" si="12"/>
        <v>0</v>
      </c>
      <c r="BM43" s="74"/>
      <c r="BN43" s="75"/>
      <c r="BO43" s="80">
        <f t="shared" si="13"/>
        <v>0</v>
      </c>
      <c r="BP43" s="74"/>
      <c r="BQ43" s="75"/>
      <c r="BR43" s="81">
        <f t="shared" si="14"/>
        <v>0</v>
      </c>
      <c r="BS43" s="74"/>
      <c r="BT43" s="75"/>
      <c r="BU43" s="67">
        <f>(BI43-BF43)/'График'!AK12</f>
        <v>1.304347826</v>
      </c>
      <c r="BV43" s="59"/>
      <c r="BW43" s="60"/>
      <c r="BX43" s="31"/>
      <c r="BY43" s="92" t="s">
        <v>33</v>
      </c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5"/>
      <c r="CM43" s="81" t="str">
        <f>BF45*100/BF41</f>
        <v>#DIV/0!</v>
      </c>
      <c r="CN43" s="75"/>
      <c r="CO43" s="81" t="str">
        <f>((BF45*100/BF41)+CM25)/2</f>
        <v>#DIV/0!</v>
      </c>
      <c r="CP43" s="75"/>
      <c r="CQ43" s="31"/>
      <c r="CR43" s="92" t="s">
        <v>34</v>
      </c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5"/>
      <c r="DH43" s="93">
        <f>sum(BR42,BR43,BR44,BR45,BR47)/5</f>
        <v>0</v>
      </c>
      <c r="DI43" s="74"/>
      <c r="DJ43" s="75"/>
      <c r="DK43" s="31"/>
      <c r="DL43" s="57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40"/>
      <c r="DX43" s="57"/>
      <c r="DY43" s="40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H43" s="53"/>
      <c r="FI43" s="87" t="s">
        <v>31</v>
      </c>
      <c r="FJ43" s="88"/>
      <c r="FK43" s="88"/>
      <c r="FL43" s="89"/>
      <c r="FM43" s="90">
        <v>1.0</v>
      </c>
      <c r="FN43" s="59"/>
      <c r="FO43" s="60"/>
      <c r="FP43" s="90">
        <v>2.0</v>
      </c>
      <c r="FQ43" s="59"/>
      <c r="FR43" s="60"/>
      <c r="FS43" s="90">
        <v>3.0</v>
      </c>
      <c r="FT43" s="59"/>
      <c r="FU43" s="60"/>
      <c r="FV43" s="90">
        <v>4.0</v>
      </c>
      <c r="FW43" s="59"/>
      <c r="FX43" s="60"/>
      <c r="FY43" s="90">
        <v>5.0</v>
      </c>
      <c r="FZ43" s="59"/>
      <c r="GA43" s="60"/>
      <c r="GB43" s="90">
        <v>6.0</v>
      </c>
      <c r="GC43" s="59"/>
      <c r="GD43" s="60"/>
      <c r="GE43" s="90">
        <v>7.0</v>
      </c>
      <c r="GF43" s="59"/>
      <c r="GG43" s="60"/>
      <c r="GH43" s="90">
        <v>8.0</v>
      </c>
      <c r="GI43" s="59"/>
      <c r="GJ43" s="60"/>
      <c r="GK43" s="90">
        <v>9.0</v>
      </c>
      <c r="GL43" s="59"/>
      <c r="GM43" s="60"/>
      <c r="GN43" s="90">
        <v>10.0</v>
      </c>
      <c r="GO43" s="59"/>
      <c r="GP43" s="60"/>
      <c r="GQ43" s="90">
        <v>11.0</v>
      </c>
      <c r="GR43" s="59"/>
      <c r="GS43" s="60"/>
      <c r="GT43" s="90">
        <v>12.0</v>
      </c>
      <c r="GU43" s="59"/>
      <c r="GV43" s="60"/>
      <c r="GW43" s="90">
        <v>13.0</v>
      </c>
      <c r="GX43" s="59"/>
      <c r="GY43" s="60"/>
      <c r="GZ43" s="90">
        <v>14.0</v>
      </c>
      <c r="HA43" s="59"/>
      <c r="HB43" s="60"/>
      <c r="HC43" s="90">
        <v>15.0</v>
      </c>
      <c r="HD43" s="59"/>
      <c r="HE43" s="60"/>
      <c r="HF43" s="356"/>
    </row>
    <row r="44" ht="15.0" customHeight="1">
      <c r="C44" s="95" t="s">
        <v>35</v>
      </c>
      <c r="D44" s="59"/>
      <c r="E44" s="59"/>
      <c r="F44" s="59"/>
      <c r="G44" s="59"/>
      <c r="H44" s="59"/>
      <c r="I44" s="59"/>
      <c r="J44" s="59"/>
      <c r="K44" s="59"/>
      <c r="L44" s="60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357"/>
      <c r="Y44" s="357"/>
      <c r="Z44" s="97"/>
      <c r="AA44" s="97"/>
      <c r="AB44" s="357"/>
      <c r="AC44" s="357"/>
      <c r="AD44" s="357"/>
      <c r="AE44" s="97"/>
      <c r="AF44" s="97"/>
      <c r="AG44" s="35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31"/>
      <c r="AS44" s="91" t="s">
        <v>38</v>
      </c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5"/>
      <c r="BF44" s="78">
        <f t="shared" si="11"/>
        <v>0</v>
      </c>
      <c r="BG44" s="74"/>
      <c r="BH44" s="75"/>
      <c r="BI44" s="385">
        <v>20.0</v>
      </c>
      <c r="BJ44" s="74"/>
      <c r="BK44" s="75"/>
      <c r="BL44" s="78">
        <f t="shared" si="12"/>
        <v>0</v>
      </c>
      <c r="BM44" s="74"/>
      <c r="BN44" s="75"/>
      <c r="BO44" s="80">
        <f t="shared" si="13"/>
        <v>0</v>
      </c>
      <c r="BP44" s="74"/>
      <c r="BQ44" s="75"/>
      <c r="BR44" s="81">
        <f t="shared" si="14"/>
        <v>0</v>
      </c>
      <c r="BS44" s="74"/>
      <c r="BT44" s="75"/>
      <c r="BU44" s="67">
        <f>(BI44-BF44)/'График'!AK12</f>
        <v>0.8695652174</v>
      </c>
      <c r="BV44" s="59"/>
      <c r="BW44" s="60"/>
      <c r="BX44" s="31"/>
      <c r="BY44" s="83" t="s">
        <v>39</v>
      </c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5"/>
      <c r="CM44" s="81" t="str">
        <f>BF43*100/BF42</f>
        <v>#DIV/0!</v>
      </c>
      <c r="CN44" s="75"/>
      <c r="CO44" s="81" t="str">
        <f>((BF43*100/BF42)+CM26)/2</f>
        <v>#DIV/0!</v>
      </c>
      <c r="CP44" s="75"/>
      <c r="CQ44" s="31"/>
      <c r="CR44" s="83" t="s">
        <v>45</v>
      </c>
      <c r="CS44" s="74"/>
      <c r="CT44" s="74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74"/>
      <c r="DF44" s="74"/>
      <c r="DG44" s="75"/>
      <c r="DH44" s="85">
        <f>FI27</f>
        <v>8200</v>
      </c>
      <c r="DI44" s="74"/>
      <c r="DJ44" s="75"/>
      <c r="DK44" s="31"/>
      <c r="DL44" s="95" t="s">
        <v>41</v>
      </c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60"/>
      <c r="DX44" s="103">
        <v>200.0</v>
      </c>
      <c r="DY44" s="60"/>
      <c r="DZ44" s="106"/>
      <c r="EA44" s="105"/>
      <c r="EB44" s="106"/>
      <c r="EC44" s="105"/>
      <c r="ED44" s="105"/>
      <c r="EE44" s="106"/>
      <c r="EF44" s="105"/>
      <c r="EG44" s="105"/>
      <c r="EH44" s="105"/>
      <c r="EI44" s="106"/>
      <c r="EJ44" s="106"/>
      <c r="EK44" s="105"/>
      <c r="EL44" s="106"/>
      <c r="EM44" s="105"/>
      <c r="EN44" s="105"/>
      <c r="EO44" s="106"/>
      <c r="EP44" s="106"/>
      <c r="EQ44" s="105"/>
      <c r="ER44" s="105"/>
      <c r="ES44" s="106"/>
      <c r="ET44" s="105"/>
      <c r="EU44" s="105"/>
      <c r="EV44" s="105"/>
      <c r="EW44" s="106"/>
      <c r="EX44" s="105"/>
      <c r="EY44" s="105"/>
      <c r="EZ44" s="105"/>
      <c r="FA44" s="106"/>
      <c r="FB44" s="105"/>
      <c r="FC44" s="105"/>
      <c r="FD44" s="105"/>
      <c r="FE44" s="107">
        <f t="shared" ref="FE44:FE49" si="15">sum(DZ44:FD44)*DX44</f>
        <v>0</v>
      </c>
      <c r="FF44" s="74"/>
      <c r="FG44" s="75"/>
      <c r="FH44" s="108"/>
      <c r="FI44" s="98" t="s">
        <v>36</v>
      </c>
      <c r="FJ44" s="5"/>
      <c r="FK44" s="5"/>
      <c r="FL44" s="99" t="s">
        <v>37</v>
      </c>
      <c r="FM44" s="101"/>
      <c r="FN44" s="59"/>
      <c r="FO44" s="60"/>
      <c r="FP44" s="101"/>
      <c r="FQ44" s="59"/>
      <c r="FR44" s="60"/>
      <c r="FS44" s="101"/>
      <c r="FT44" s="59"/>
      <c r="FU44" s="60"/>
      <c r="FV44" s="101"/>
      <c r="FW44" s="59"/>
      <c r="FX44" s="60"/>
      <c r="FY44" s="101">
        <v>10.0</v>
      </c>
      <c r="FZ44" s="59"/>
      <c r="GA44" s="60"/>
      <c r="GB44" s="101">
        <v>10.0</v>
      </c>
      <c r="GC44" s="59"/>
      <c r="GD44" s="60"/>
      <c r="GE44" s="101">
        <v>10.0</v>
      </c>
      <c r="GF44" s="59"/>
      <c r="GG44" s="60"/>
      <c r="GH44" s="101">
        <v>10.0</v>
      </c>
      <c r="GI44" s="59"/>
      <c r="GJ44" s="60"/>
      <c r="GK44" s="101">
        <v>10.0</v>
      </c>
      <c r="GL44" s="59"/>
      <c r="GM44" s="60"/>
      <c r="GN44" s="101">
        <v>10.0</v>
      </c>
      <c r="GO44" s="59"/>
      <c r="GP44" s="60"/>
      <c r="GQ44" s="101">
        <v>10.0</v>
      </c>
      <c r="GR44" s="59"/>
      <c r="GS44" s="60"/>
      <c r="GT44" s="101">
        <v>10.0</v>
      </c>
      <c r="GU44" s="59"/>
      <c r="GV44" s="60"/>
      <c r="GW44" s="101">
        <v>10.0</v>
      </c>
      <c r="GX44" s="59"/>
      <c r="GY44" s="60"/>
      <c r="GZ44" s="101">
        <v>10.0</v>
      </c>
      <c r="HA44" s="59"/>
      <c r="HB44" s="60"/>
      <c r="HC44" s="101">
        <v>10.0</v>
      </c>
      <c r="HD44" s="59"/>
      <c r="HE44" s="60"/>
      <c r="HF44" s="356"/>
    </row>
    <row r="45" ht="15.0" customHeight="1">
      <c r="C45" s="110" t="s">
        <v>42</v>
      </c>
      <c r="D45" s="74"/>
      <c r="E45" s="74"/>
      <c r="F45" s="74"/>
      <c r="G45" s="74"/>
      <c r="H45" s="74"/>
      <c r="I45" s="74"/>
      <c r="J45" s="74"/>
      <c r="K45" s="74"/>
      <c r="L45" s="75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358"/>
      <c r="Y45" s="358"/>
      <c r="Z45" s="112"/>
      <c r="AA45" s="112"/>
      <c r="AB45" s="358"/>
      <c r="AC45" s="358"/>
      <c r="AD45" s="358"/>
      <c r="AE45" s="112"/>
      <c r="AF45" s="112"/>
      <c r="AG45" s="358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31"/>
      <c r="AS45" s="77" t="s">
        <v>43</v>
      </c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5"/>
      <c r="BF45" s="78">
        <f t="shared" si="11"/>
        <v>0</v>
      </c>
      <c r="BG45" s="74"/>
      <c r="BH45" s="75"/>
      <c r="BI45" s="386">
        <v>5.0</v>
      </c>
      <c r="BJ45" s="74"/>
      <c r="BK45" s="75"/>
      <c r="BL45" s="78">
        <f t="shared" si="12"/>
        <v>0</v>
      </c>
      <c r="BM45" s="74"/>
      <c r="BN45" s="75"/>
      <c r="BO45" s="80">
        <f t="shared" si="13"/>
        <v>0</v>
      </c>
      <c r="BP45" s="74"/>
      <c r="BQ45" s="75"/>
      <c r="BR45" s="81">
        <f t="shared" si="14"/>
        <v>0</v>
      </c>
      <c r="BS45" s="74"/>
      <c r="BT45" s="75"/>
      <c r="BU45" s="67">
        <f>(BI45-BF45)/'График'!AK12</f>
        <v>0.2173913043</v>
      </c>
      <c r="BV45" s="59"/>
      <c r="BW45" s="60"/>
      <c r="BX45" s="31"/>
      <c r="BY45" s="83" t="s">
        <v>44</v>
      </c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5"/>
      <c r="CM45" s="81" t="str">
        <f>BF44*100/BF42</f>
        <v>#DIV/0!</v>
      </c>
      <c r="CN45" s="75"/>
      <c r="CO45" s="81" t="str">
        <f>((BF44*100/BF42)+CM27)/2</f>
        <v>#DIV/0!</v>
      </c>
      <c r="CP45" s="75"/>
      <c r="CQ45" s="31"/>
      <c r="CR45" s="83" t="s">
        <v>50</v>
      </c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5"/>
      <c r="DH45" s="85">
        <f>FI11</f>
        <v>1500</v>
      </c>
      <c r="DI45" s="74"/>
      <c r="DJ45" s="75"/>
      <c r="DK45" s="31"/>
      <c r="DL45" s="92" t="s">
        <v>46</v>
      </c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5"/>
      <c r="DX45" s="116">
        <v>200.0</v>
      </c>
      <c r="DY45" s="75"/>
      <c r="DZ45" s="119"/>
      <c r="EA45" s="118"/>
      <c r="EB45" s="119"/>
      <c r="EC45" s="118"/>
      <c r="ED45" s="118"/>
      <c r="EE45" s="118"/>
      <c r="EF45" s="118"/>
      <c r="EG45" s="119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118"/>
      <c r="FC45" s="118"/>
      <c r="FD45" s="119"/>
      <c r="FE45" s="107">
        <f t="shared" si="15"/>
        <v>0</v>
      </c>
      <c r="FF45" s="74"/>
      <c r="FG45" s="75"/>
      <c r="FH45" s="108"/>
      <c r="FI45" s="113">
        <f>SUM(FM45:HD45)</f>
        <v>0</v>
      </c>
      <c r="FJ45" s="59"/>
      <c r="FK45" s="59"/>
      <c r="FL45" s="60"/>
      <c r="FM45" s="114">
        <f>(FM42*FM44)/100</f>
        <v>0</v>
      </c>
      <c r="FN45" s="74"/>
      <c r="FO45" s="75"/>
      <c r="FP45" s="115">
        <f>(FP42*FP44)/100</f>
        <v>0</v>
      </c>
      <c r="FQ45" s="74"/>
      <c r="FR45" s="75"/>
      <c r="FS45" s="115">
        <f>(FS42*FS44)/100</f>
        <v>0</v>
      </c>
      <c r="FT45" s="74"/>
      <c r="FU45" s="75"/>
      <c r="FV45" s="115">
        <f>(FV42*FV44)/100</f>
        <v>0</v>
      </c>
      <c r="FW45" s="74"/>
      <c r="FX45" s="75"/>
      <c r="FY45" s="115">
        <f>(FY42*FY44)/100</f>
        <v>0</v>
      </c>
      <c r="FZ45" s="74"/>
      <c r="GA45" s="75"/>
      <c r="GB45" s="115">
        <f>(GB42*GB44)/100</f>
        <v>0</v>
      </c>
      <c r="GC45" s="74"/>
      <c r="GD45" s="75"/>
      <c r="GE45" s="115">
        <f>(GE42*GE44)/100</f>
        <v>0</v>
      </c>
      <c r="GF45" s="74"/>
      <c r="GG45" s="75"/>
      <c r="GH45" s="115">
        <f>(GH42*GH44)/100</f>
        <v>0</v>
      </c>
      <c r="GI45" s="74"/>
      <c r="GJ45" s="75"/>
      <c r="GK45" s="115">
        <f>(GK42*GK44)/100</f>
        <v>0</v>
      </c>
      <c r="GL45" s="74"/>
      <c r="GM45" s="75"/>
      <c r="GN45" s="115">
        <f>(GN42*GN44)/100</f>
        <v>0</v>
      </c>
      <c r="GO45" s="74"/>
      <c r="GP45" s="75"/>
      <c r="GQ45" s="115">
        <f>(GQ42*GQ44)/100</f>
        <v>0</v>
      </c>
      <c r="GR45" s="74"/>
      <c r="GS45" s="75"/>
      <c r="GT45" s="115">
        <f>(GT42*GT44)/100</f>
        <v>0</v>
      </c>
      <c r="GU45" s="74"/>
      <c r="GV45" s="75"/>
      <c r="GW45" s="115">
        <f>(GW42*GW44)/100</f>
        <v>0</v>
      </c>
      <c r="GX45" s="74"/>
      <c r="GY45" s="75"/>
      <c r="GZ45" s="115">
        <f>(GZ42*GZ44)/100</f>
        <v>0</v>
      </c>
      <c r="HA45" s="74"/>
      <c r="HB45" s="75"/>
      <c r="HC45" s="115">
        <f>(HC42*HC44)/100</f>
        <v>0</v>
      </c>
      <c r="HD45" s="74"/>
      <c r="HE45" s="75"/>
      <c r="HF45" s="356"/>
    </row>
    <row r="46" ht="15.0" customHeight="1">
      <c r="C46" s="83" t="s">
        <v>32</v>
      </c>
      <c r="D46" s="74"/>
      <c r="E46" s="74"/>
      <c r="F46" s="74"/>
      <c r="G46" s="74"/>
      <c r="H46" s="74"/>
      <c r="I46" s="74"/>
      <c r="J46" s="74"/>
      <c r="K46" s="74"/>
      <c r="L46" s="75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358"/>
      <c r="Y46" s="358"/>
      <c r="Z46" s="112"/>
      <c r="AA46" s="112"/>
      <c r="AB46" s="358"/>
      <c r="AC46" s="358"/>
      <c r="AD46" s="358"/>
      <c r="AE46" s="112"/>
      <c r="AF46" s="112"/>
      <c r="AG46" s="358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31"/>
      <c r="AS46" s="91" t="s">
        <v>48</v>
      </c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5"/>
      <c r="BF46" s="78">
        <f t="shared" si="11"/>
        <v>0</v>
      </c>
      <c r="BG46" s="74"/>
      <c r="BH46" s="75"/>
      <c r="BI46" s="386">
        <v>0.0</v>
      </c>
      <c r="BJ46" s="74"/>
      <c r="BK46" s="75"/>
      <c r="BL46" s="78">
        <v>0.0</v>
      </c>
      <c r="BM46" s="74"/>
      <c r="BN46" s="75"/>
      <c r="BO46" s="80">
        <v>0.0</v>
      </c>
      <c r="BP46" s="74"/>
      <c r="BQ46" s="75"/>
      <c r="BR46" s="81">
        <v>0.0</v>
      </c>
      <c r="BS46" s="74"/>
      <c r="BT46" s="75"/>
      <c r="BU46" s="67">
        <f>(BI46-BF46)/'График'!AK12</f>
        <v>0</v>
      </c>
      <c r="BV46" s="59"/>
      <c r="BW46" s="60"/>
      <c r="BX46" s="31"/>
      <c r="BY46" s="92" t="s">
        <v>49</v>
      </c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5"/>
      <c r="CM46" s="81" t="str">
        <f>BF45*100/BF42</f>
        <v>#DIV/0!</v>
      </c>
      <c r="CN46" s="75"/>
      <c r="CO46" s="81" t="str">
        <f>((BF45*100/BF42)+CM28)/2</f>
        <v>#DIV/0!</v>
      </c>
      <c r="CP46" s="75"/>
      <c r="CQ46" s="31"/>
      <c r="CR46" s="83" t="s">
        <v>54</v>
      </c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5"/>
      <c r="DH46" s="85">
        <f>if(DH43&gt;84,BF47*15%+DH42,if(DH43&lt;85,BF47*5%+DH42))</f>
        <v>0</v>
      </c>
      <c r="DI46" s="74"/>
      <c r="DJ46" s="75"/>
      <c r="DK46" s="31"/>
      <c r="DL46" s="92" t="s">
        <v>51</v>
      </c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5"/>
      <c r="DX46" s="116">
        <v>500.0</v>
      </c>
      <c r="DY46" s="75"/>
      <c r="DZ46" s="119"/>
      <c r="EA46" s="118"/>
      <c r="EB46" s="118"/>
      <c r="EC46" s="118"/>
      <c r="ED46" s="118"/>
      <c r="EE46" s="118"/>
      <c r="EF46" s="118"/>
      <c r="EG46" s="119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  <c r="ER46" s="118"/>
      <c r="ES46" s="118"/>
      <c r="ET46" s="118"/>
      <c r="EU46" s="118"/>
      <c r="EV46" s="118"/>
      <c r="EW46" s="118"/>
      <c r="EX46" s="118"/>
      <c r="EY46" s="118"/>
      <c r="EZ46" s="118"/>
      <c r="FA46" s="118"/>
      <c r="FB46" s="118"/>
      <c r="FC46" s="118"/>
      <c r="FD46" s="118"/>
      <c r="FE46" s="107">
        <f t="shared" si="15"/>
        <v>0</v>
      </c>
      <c r="FF46" s="74"/>
      <c r="FG46" s="75"/>
      <c r="FH46" s="108"/>
      <c r="FI46" s="98" t="s">
        <v>47</v>
      </c>
      <c r="FJ46" s="5"/>
      <c r="FK46" s="5"/>
      <c r="FL46" s="99" t="s">
        <v>37</v>
      </c>
      <c r="FM46" s="122"/>
      <c r="FN46" s="74"/>
      <c r="FO46" s="75"/>
      <c r="FP46" s="122"/>
      <c r="FQ46" s="74"/>
      <c r="FR46" s="75"/>
      <c r="FS46" s="122"/>
      <c r="FT46" s="74"/>
      <c r="FU46" s="75"/>
      <c r="FV46" s="122"/>
      <c r="FW46" s="74"/>
      <c r="FX46" s="75"/>
      <c r="FY46" s="122">
        <v>5.0</v>
      </c>
      <c r="FZ46" s="74"/>
      <c r="GA46" s="75"/>
      <c r="GB46" s="122">
        <v>5.0</v>
      </c>
      <c r="GC46" s="74"/>
      <c r="GD46" s="75"/>
      <c r="GE46" s="122">
        <v>5.0</v>
      </c>
      <c r="GF46" s="74"/>
      <c r="GG46" s="75"/>
      <c r="GH46" s="122">
        <v>5.0</v>
      </c>
      <c r="GI46" s="74"/>
      <c r="GJ46" s="75"/>
      <c r="GK46" s="122">
        <v>5.0</v>
      </c>
      <c r="GL46" s="74"/>
      <c r="GM46" s="75"/>
      <c r="GN46" s="122">
        <v>5.0</v>
      </c>
      <c r="GO46" s="74"/>
      <c r="GP46" s="75"/>
      <c r="GQ46" s="122">
        <v>5.0</v>
      </c>
      <c r="GR46" s="74"/>
      <c r="GS46" s="75"/>
      <c r="GT46" s="122">
        <v>5.0</v>
      </c>
      <c r="GU46" s="74"/>
      <c r="GV46" s="75"/>
      <c r="GW46" s="122">
        <v>5.0</v>
      </c>
      <c r="GX46" s="74"/>
      <c r="GY46" s="75"/>
      <c r="GZ46" s="122">
        <v>5.0</v>
      </c>
      <c r="HA46" s="74"/>
      <c r="HB46" s="75"/>
      <c r="HC46" s="122">
        <v>5.0</v>
      </c>
      <c r="HD46" s="74"/>
      <c r="HE46" s="75"/>
      <c r="HF46" s="359"/>
    </row>
    <row r="47" ht="15.0" customHeight="1">
      <c r="C47" s="83" t="s">
        <v>38</v>
      </c>
      <c r="D47" s="74"/>
      <c r="E47" s="74"/>
      <c r="F47" s="74"/>
      <c r="G47" s="74"/>
      <c r="H47" s="74"/>
      <c r="I47" s="74"/>
      <c r="J47" s="74"/>
      <c r="K47" s="74"/>
      <c r="L47" s="75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358"/>
      <c r="Y47" s="358"/>
      <c r="Z47" s="112"/>
      <c r="AA47" s="112"/>
      <c r="AB47" s="358"/>
      <c r="AC47" s="358"/>
      <c r="AD47" s="358"/>
      <c r="AE47" s="112"/>
      <c r="AF47" s="112"/>
      <c r="AG47" s="358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31"/>
      <c r="AS47" s="77" t="s">
        <v>52</v>
      </c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5"/>
      <c r="BF47" s="80">
        <f>SUM(N50:AQ50)</f>
        <v>0</v>
      </c>
      <c r="BG47" s="74"/>
      <c r="BH47" s="75"/>
      <c r="BI47" s="125">
        <v>120000.0</v>
      </c>
      <c r="BJ47" s="74"/>
      <c r="BK47" s="75"/>
      <c r="BL47" s="126">
        <f>IF(BF47&lt;BI47,BF47,IF(BF47&gt;=BI47,BI47))</f>
        <v>0</v>
      </c>
      <c r="BM47" s="74"/>
      <c r="BN47" s="75"/>
      <c r="BO47" s="80">
        <f>5000*BR47/100</f>
        <v>0</v>
      </c>
      <c r="BP47" s="74"/>
      <c r="BQ47" s="75"/>
      <c r="BR47" s="81">
        <f>BL47*100/BI47</f>
        <v>0</v>
      </c>
      <c r="BS47" s="74"/>
      <c r="BT47" s="75"/>
      <c r="BU47" s="67">
        <f>(BI47-BF47)/'График'!AK12</f>
        <v>5217.391304</v>
      </c>
      <c r="BV47" s="59"/>
      <c r="BW47" s="60"/>
      <c r="BX47" s="31"/>
      <c r="BY47" s="83" t="s">
        <v>53</v>
      </c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5"/>
      <c r="CM47" s="81" t="str">
        <f>BF44*100/BF43</f>
        <v>#DIV/0!</v>
      </c>
      <c r="CN47" s="75"/>
      <c r="CO47" s="81" t="str">
        <f>((BF44*100/BF43)+CM29)/2</f>
        <v>#DIV/0!</v>
      </c>
      <c r="CP47" s="75"/>
      <c r="CQ47" s="31"/>
      <c r="CR47" s="83" t="s">
        <v>59</v>
      </c>
      <c r="CS47" s="74"/>
      <c r="CT47" s="74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5"/>
      <c r="DH47" s="85">
        <f>if(BF48&gt;=BI48,DH46+BO48,if(BF48&lt;BI48,DH46))-FE50</f>
        <v>0</v>
      </c>
      <c r="DI47" s="74"/>
      <c r="DJ47" s="75"/>
      <c r="DK47" s="31"/>
      <c r="DL47" s="92" t="s">
        <v>55</v>
      </c>
      <c r="DM47" s="74"/>
      <c r="DN47" s="74"/>
      <c r="DO47" s="74"/>
      <c r="DP47" s="74"/>
      <c r="DQ47" s="74"/>
      <c r="DR47" s="74"/>
      <c r="DS47" s="74"/>
      <c r="DT47" s="74"/>
      <c r="DU47" s="74"/>
      <c r="DV47" s="74"/>
      <c r="DW47" s="75"/>
      <c r="DX47" s="116">
        <v>800.0</v>
      </c>
      <c r="DY47" s="75"/>
      <c r="DZ47" s="119"/>
      <c r="EA47" s="119"/>
      <c r="EB47" s="118"/>
      <c r="EC47" s="119"/>
      <c r="ED47" s="119"/>
      <c r="EE47" s="119"/>
      <c r="EF47" s="119"/>
      <c r="EG47" s="119"/>
      <c r="EH47" s="119"/>
      <c r="EI47" s="118"/>
      <c r="EJ47" s="118"/>
      <c r="EK47" s="119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118"/>
      <c r="FC47" s="118"/>
      <c r="FD47" s="118"/>
      <c r="FE47" s="107">
        <f t="shared" si="15"/>
        <v>0</v>
      </c>
      <c r="FF47" s="74"/>
      <c r="FG47" s="75"/>
      <c r="FH47" s="108"/>
      <c r="FI47" s="113">
        <f>SUM(FM47:HD47)</f>
        <v>0</v>
      </c>
      <c r="FJ47" s="59"/>
      <c r="FK47" s="59"/>
      <c r="FL47" s="60"/>
      <c r="FM47" s="123">
        <f>(FM42*FM46)/100</f>
        <v>0</v>
      </c>
      <c r="FN47" s="74"/>
      <c r="FO47" s="75"/>
      <c r="FP47" s="124">
        <f>(FP42*FP46)/100</f>
        <v>0</v>
      </c>
      <c r="FQ47" s="74"/>
      <c r="FR47" s="75"/>
      <c r="FS47" s="124">
        <f>(FS42*FS46)/100</f>
        <v>0</v>
      </c>
      <c r="FT47" s="74"/>
      <c r="FU47" s="75"/>
      <c r="FV47" s="124">
        <f>(FV42*FV46)/100</f>
        <v>0</v>
      </c>
      <c r="FW47" s="74"/>
      <c r="FX47" s="75"/>
      <c r="FY47" s="124">
        <f>(FY42*FY46)/100</f>
        <v>0</v>
      </c>
      <c r="FZ47" s="74"/>
      <c r="GA47" s="75"/>
      <c r="GB47" s="124">
        <f>(GB42*GB46)/100</f>
        <v>0</v>
      </c>
      <c r="GC47" s="74"/>
      <c r="GD47" s="75"/>
      <c r="GE47" s="124">
        <f>(GE42*GE46)/100</f>
        <v>0</v>
      </c>
      <c r="GF47" s="74"/>
      <c r="GG47" s="75"/>
      <c r="GH47" s="124">
        <f>(GH42*GH46)/100</f>
        <v>0</v>
      </c>
      <c r="GI47" s="74"/>
      <c r="GJ47" s="75"/>
      <c r="GK47" s="124">
        <f>(GK42*GK46)/100</f>
        <v>0</v>
      </c>
      <c r="GL47" s="74"/>
      <c r="GM47" s="75"/>
      <c r="GN47" s="124">
        <f>(GN42*GN46)/100</f>
        <v>0</v>
      </c>
      <c r="GO47" s="74"/>
      <c r="GP47" s="75"/>
      <c r="GQ47" s="124">
        <f>(GQ42*GQ46)/100</f>
        <v>0</v>
      </c>
      <c r="GR47" s="74"/>
      <c r="GS47" s="75"/>
      <c r="GT47" s="124">
        <f>(GT42*GT46)/100</f>
        <v>0</v>
      </c>
      <c r="GU47" s="74"/>
      <c r="GV47" s="75"/>
      <c r="GW47" s="124">
        <f>(GW42*GW46)/100</f>
        <v>0</v>
      </c>
      <c r="GX47" s="74"/>
      <c r="GY47" s="75"/>
      <c r="GZ47" s="124">
        <f>(GZ42*GZ46)/100</f>
        <v>0</v>
      </c>
      <c r="HA47" s="74"/>
      <c r="HB47" s="75"/>
      <c r="HC47" s="124">
        <f>(HC42*HC46)/100</f>
        <v>0</v>
      </c>
      <c r="HD47" s="74"/>
      <c r="HE47" s="75"/>
      <c r="HF47" s="359"/>
    </row>
    <row r="48" ht="15.0" customHeight="1">
      <c r="C48" s="92" t="s">
        <v>43</v>
      </c>
      <c r="D48" s="74"/>
      <c r="E48" s="74"/>
      <c r="F48" s="74"/>
      <c r="G48" s="74"/>
      <c r="H48" s="74"/>
      <c r="I48" s="74"/>
      <c r="J48" s="74"/>
      <c r="K48" s="74"/>
      <c r="L48" s="75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358"/>
      <c r="Y48" s="358"/>
      <c r="Z48" s="112"/>
      <c r="AA48" s="112"/>
      <c r="AB48" s="358"/>
      <c r="AC48" s="358"/>
      <c r="AD48" s="358"/>
      <c r="AE48" s="112"/>
      <c r="AF48" s="112"/>
      <c r="AG48" s="358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31"/>
      <c r="AS48" s="77" t="s">
        <v>57</v>
      </c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5"/>
      <c r="BF48" s="80">
        <f>sum(BF47+'Александр'!BI46)</f>
        <v>0</v>
      </c>
      <c r="BG48" s="74"/>
      <c r="BH48" s="75"/>
      <c r="BI48" s="128">
        <v>160000.0</v>
      </c>
      <c r="BJ48" s="74"/>
      <c r="BK48" s="75"/>
      <c r="BL48" s="130"/>
      <c r="BM48" s="74"/>
      <c r="BN48" s="75"/>
      <c r="BO48" s="80">
        <v>10000.0</v>
      </c>
      <c r="BP48" s="74"/>
      <c r="BQ48" s="75"/>
      <c r="BR48" s="131">
        <f>BF48*100/BI48</f>
        <v>0</v>
      </c>
      <c r="BS48" s="74"/>
      <c r="BT48" s="75"/>
      <c r="BU48" s="67">
        <f>(BI48-BF48)/'График'!AK12</f>
        <v>6956.521739</v>
      </c>
      <c r="BV48" s="59"/>
      <c r="BW48" s="60"/>
      <c r="BX48" s="31"/>
      <c r="BY48" s="83" t="s">
        <v>58</v>
      </c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5"/>
      <c r="CM48" s="81" t="str">
        <f>BF45*100/BF43</f>
        <v>#DIV/0!</v>
      </c>
      <c r="CN48" s="75"/>
      <c r="CO48" s="81" t="str">
        <f>((BF45*100/BF43)+CM30)/2</f>
        <v>#DIV/0!</v>
      </c>
      <c r="CP48" s="75"/>
      <c r="CQ48" s="31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9" t="s">
        <v>24</v>
      </c>
      <c r="DG48" s="75"/>
      <c r="DH48" s="140">
        <f>sum(DH47+DH44+DH45)</f>
        <v>9700</v>
      </c>
      <c r="DI48" s="74"/>
      <c r="DJ48" s="75"/>
      <c r="DK48" s="31"/>
      <c r="DL48" s="92" t="s">
        <v>60</v>
      </c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5"/>
      <c r="DX48" s="116">
        <v>1500.0</v>
      </c>
      <c r="DY48" s="75"/>
      <c r="DZ48" s="118"/>
      <c r="EA48" s="118"/>
      <c r="EB48" s="118"/>
      <c r="EC48" s="118"/>
      <c r="ED48" s="118"/>
      <c r="EE48" s="118"/>
      <c r="EF48" s="118"/>
      <c r="EG48" s="119"/>
      <c r="EH48" s="119"/>
      <c r="EI48" s="118"/>
      <c r="EJ48" s="119"/>
      <c r="EK48" s="119"/>
      <c r="EL48" s="119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18"/>
      <c r="EX48" s="118"/>
      <c r="EY48" s="119"/>
      <c r="EZ48" s="118"/>
      <c r="FA48" s="118"/>
      <c r="FB48" s="118"/>
      <c r="FC48" s="118"/>
      <c r="FD48" s="118"/>
      <c r="FE48" s="107">
        <f t="shared" si="15"/>
        <v>0</v>
      </c>
      <c r="FF48" s="74"/>
      <c r="FG48" s="75"/>
      <c r="FH48" s="108"/>
      <c r="FI48" s="127" t="s">
        <v>56</v>
      </c>
      <c r="HF48" s="359"/>
    </row>
    <row r="49" ht="15.0" customHeight="1">
      <c r="C49" s="83" t="s">
        <v>48</v>
      </c>
      <c r="D49" s="74"/>
      <c r="E49" s="74"/>
      <c r="F49" s="74"/>
      <c r="G49" s="74"/>
      <c r="H49" s="74"/>
      <c r="I49" s="74"/>
      <c r="J49" s="74"/>
      <c r="K49" s="74"/>
      <c r="L49" s="75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358"/>
      <c r="Y49" s="358"/>
      <c r="Z49" s="112"/>
      <c r="AA49" s="112"/>
      <c r="AB49" s="358"/>
      <c r="AC49" s="358"/>
      <c r="AD49" s="358"/>
      <c r="AE49" s="112"/>
      <c r="AF49" s="112"/>
      <c r="AG49" s="358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31"/>
      <c r="AS49" s="77" t="s">
        <v>70</v>
      </c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5"/>
      <c r="BF49" s="80">
        <f>BI47-BF47</f>
        <v>120000</v>
      </c>
      <c r="BG49" s="74"/>
      <c r="BH49" s="75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7"/>
      <c r="BW49" s="137"/>
      <c r="BX49" s="31"/>
      <c r="BY49" s="83" t="s">
        <v>71</v>
      </c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5"/>
      <c r="CM49" s="81" t="str">
        <f>BF45*100/BF44</f>
        <v>#DIV/0!</v>
      </c>
      <c r="CN49" s="75"/>
      <c r="CO49" s="81" t="str">
        <f>((BF45*100/BF44)+CM31)/2</f>
        <v>#DIV/0!</v>
      </c>
      <c r="CP49" s="75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83" t="s">
        <v>72</v>
      </c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5"/>
      <c r="DX49" s="116">
        <v>1000.0</v>
      </c>
      <c r="DY49" s="74"/>
      <c r="DZ49" s="141"/>
      <c r="EA49" s="142"/>
      <c r="EB49" s="141"/>
      <c r="EC49" s="141"/>
      <c r="ED49" s="141"/>
      <c r="EE49" s="141"/>
      <c r="EF49" s="142"/>
      <c r="EG49" s="141"/>
      <c r="EH49" s="141"/>
      <c r="EI49" s="141"/>
      <c r="EJ49" s="142"/>
      <c r="EK49" s="141"/>
      <c r="EL49" s="142"/>
      <c r="EM49" s="141"/>
      <c r="EN49" s="141"/>
      <c r="EO49" s="141"/>
      <c r="EP49" s="141"/>
      <c r="EQ49" s="141"/>
      <c r="ER49" s="141"/>
      <c r="ES49" s="141"/>
      <c r="ET49" s="141"/>
      <c r="EU49" s="141"/>
      <c r="EV49" s="141"/>
      <c r="EW49" s="141"/>
      <c r="EX49" s="141"/>
      <c r="EY49" s="141"/>
      <c r="EZ49" s="141"/>
      <c r="FA49" s="141"/>
      <c r="FB49" s="141"/>
      <c r="FC49" s="141"/>
      <c r="FD49" s="141"/>
      <c r="FE49" s="107">
        <f t="shared" si="15"/>
        <v>0</v>
      </c>
      <c r="FF49" s="74"/>
      <c r="FG49" s="75"/>
      <c r="FH49" s="108"/>
      <c r="FI49" s="132" t="s">
        <v>9</v>
      </c>
      <c r="FJ49" s="27"/>
      <c r="FK49" s="27"/>
      <c r="FL49" s="28"/>
      <c r="FM49" s="133" t="s">
        <v>157</v>
      </c>
      <c r="FN49" s="134"/>
      <c r="FO49" s="135"/>
      <c r="FP49" s="133" t="s">
        <v>69</v>
      </c>
      <c r="FQ49" s="134"/>
      <c r="FR49" s="135"/>
      <c r="FS49" s="133" t="s">
        <v>69</v>
      </c>
      <c r="FT49" s="134"/>
      <c r="FU49" s="135"/>
      <c r="FV49" s="133" t="s">
        <v>69</v>
      </c>
      <c r="FW49" s="134"/>
      <c r="FX49" s="135"/>
      <c r="FY49" s="133" t="s">
        <v>69</v>
      </c>
      <c r="FZ49" s="134"/>
      <c r="GA49" s="135"/>
      <c r="GB49" s="133" t="s">
        <v>69</v>
      </c>
      <c r="GC49" s="134"/>
      <c r="GD49" s="135"/>
      <c r="GE49" s="133" t="s">
        <v>69</v>
      </c>
      <c r="GF49" s="134"/>
      <c r="GG49" s="135"/>
      <c r="GH49" s="133" t="s">
        <v>69</v>
      </c>
      <c r="GI49" s="134"/>
      <c r="GJ49" s="135"/>
      <c r="GK49" s="133" t="s">
        <v>69</v>
      </c>
      <c r="GL49" s="134"/>
      <c r="GM49" s="135"/>
      <c r="GN49" s="133" t="s">
        <v>69</v>
      </c>
      <c r="GO49" s="134"/>
      <c r="GP49" s="135"/>
      <c r="GQ49" s="133" t="s">
        <v>69</v>
      </c>
      <c r="GR49" s="134"/>
      <c r="GS49" s="135"/>
      <c r="GT49" s="133" t="s">
        <v>69</v>
      </c>
      <c r="GU49" s="134"/>
      <c r="GV49" s="135"/>
      <c r="GW49" s="133" t="s">
        <v>69</v>
      </c>
      <c r="GX49" s="134"/>
      <c r="GY49" s="135"/>
      <c r="GZ49" s="133" t="s">
        <v>69</v>
      </c>
      <c r="HA49" s="134"/>
      <c r="HB49" s="135"/>
      <c r="HC49" s="133" t="s">
        <v>69</v>
      </c>
      <c r="HD49" s="134"/>
      <c r="HE49" s="135"/>
      <c r="HF49" s="359"/>
    </row>
    <row r="50" ht="15.0" customHeight="1">
      <c r="C50" s="143" t="s">
        <v>52</v>
      </c>
      <c r="D50" s="134"/>
      <c r="E50" s="134"/>
      <c r="F50" s="134"/>
      <c r="G50" s="134"/>
      <c r="H50" s="134"/>
      <c r="I50" s="134"/>
      <c r="J50" s="134"/>
      <c r="K50" s="134"/>
      <c r="L50" s="13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361"/>
      <c r="Y50" s="361"/>
      <c r="Z50" s="145"/>
      <c r="AA50" s="145"/>
      <c r="AB50" s="361"/>
      <c r="AC50" s="145"/>
      <c r="AD50" s="361"/>
      <c r="AE50" s="145"/>
      <c r="AF50" s="145"/>
      <c r="AG50" s="361"/>
      <c r="AH50" s="145"/>
      <c r="AI50" s="145"/>
      <c r="AJ50" s="145"/>
      <c r="AK50" s="145"/>
      <c r="AL50" s="145"/>
      <c r="AM50" s="145"/>
      <c r="AN50" s="144"/>
      <c r="AO50" s="145"/>
      <c r="AP50" s="145"/>
      <c r="AQ50" s="144"/>
      <c r="AR50" s="31"/>
      <c r="AS50" s="77" t="s">
        <v>73</v>
      </c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5"/>
      <c r="BF50" s="80" t="str">
        <f>BF47/BF45</f>
        <v>#DIV/0!</v>
      </c>
      <c r="BG50" s="74"/>
      <c r="BH50" s="75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146"/>
      <c r="CN50" s="146"/>
      <c r="CO50" s="362"/>
      <c r="CP50" s="362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148"/>
      <c r="DM50" s="148"/>
      <c r="DN50" s="148"/>
      <c r="DO50" s="148"/>
      <c r="DP50" s="148"/>
      <c r="DQ50" s="148"/>
      <c r="DR50" s="148"/>
      <c r="DS50" s="148"/>
      <c r="DT50" s="148"/>
      <c r="DU50" s="148"/>
      <c r="DV50" s="148"/>
      <c r="DW50" s="148"/>
      <c r="DX50" s="148"/>
      <c r="DY50" s="148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36"/>
      <c r="EY50" s="136"/>
      <c r="EZ50" s="136"/>
      <c r="FA50" s="136"/>
      <c r="FB50" s="136"/>
      <c r="FC50" s="150" t="s">
        <v>24</v>
      </c>
      <c r="FD50" s="75"/>
      <c r="FE50" s="151">
        <f>sum(FE44:FE49)</f>
        <v>0</v>
      </c>
      <c r="FF50" s="74"/>
      <c r="FG50" s="75"/>
      <c r="FH50" s="152"/>
      <c r="FI50" s="57"/>
      <c r="FJ50" s="39"/>
      <c r="FK50" s="39"/>
      <c r="FL50" s="40"/>
      <c r="FM50" s="58"/>
      <c r="FN50" s="59"/>
      <c r="FO50" s="60"/>
      <c r="FP50" s="58"/>
      <c r="FQ50" s="59"/>
      <c r="FR50" s="60"/>
      <c r="FS50" s="58"/>
      <c r="FT50" s="59"/>
      <c r="FU50" s="60"/>
      <c r="FV50" s="58"/>
      <c r="FW50" s="59"/>
      <c r="FX50" s="60"/>
      <c r="FY50" s="58"/>
      <c r="FZ50" s="59"/>
      <c r="GA50" s="60"/>
      <c r="GB50" s="58"/>
      <c r="GC50" s="59"/>
      <c r="GD50" s="60"/>
      <c r="GE50" s="58"/>
      <c r="GF50" s="59"/>
      <c r="GG50" s="60"/>
      <c r="GH50" s="58"/>
      <c r="GI50" s="59"/>
      <c r="GJ50" s="60"/>
      <c r="GK50" s="58"/>
      <c r="GL50" s="59"/>
      <c r="GM50" s="60"/>
      <c r="GN50" s="58"/>
      <c r="GO50" s="59"/>
      <c r="GP50" s="60"/>
      <c r="GQ50" s="58"/>
      <c r="GR50" s="59"/>
      <c r="GS50" s="60"/>
      <c r="GT50" s="58"/>
      <c r="GU50" s="59"/>
      <c r="GV50" s="60"/>
      <c r="GW50" s="58"/>
      <c r="GX50" s="59"/>
      <c r="GY50" s="60"/>
      <c r="GZ50" s="58"/>
      <c r="HA50" s="59"/>
      <c r="HB50" s="60"/>
      <c r="HC50" s="58"/>
      <c r="HD50" s="59"/>
      <c r="HE50" s="60"/>
      <c r="HF50" s="363"/>
    </row>
    <row r="51" ht="15.0" customHeight="1">
      <c r="C51" s="153"/>
      <c r="L51" s="35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31"/>
      <c r="AS51" s="77" t="s">
        <v>74</v>
      </c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5"/>
      <c r="BF51" s="78"/>
      <c r="BG51" s="74"/>
      <c r="BH51" s="75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146"/>
      <c r="CN51" s="146"/>
      <c r="CO51" s="362"/>
      <c r="CP51" s="362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148"/>
      <c r="EP51" s="148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157"/>
      <c r="FF51" s="158"/>
      <c r="FG51" s="31"/>
      <c r="FH51" s="31"/>
      <c r="FI51" s="72" t="s">
        <v>21</v>
      </c>
      <c r="FJ51" s="27"/>
      <c r="FK51" s="27"/>
      <c r="FL51" s="28"/>
      <c r="FM51" s="156">
        <v>3000.0</v>
      </c>
      <c r="FN51" s="74"/>
      <c r="FO51" s="75"/>
      <c r="FP51" s="156">
        <v>3000.0</v>
      </c>
      <c r="FQ51" s="74"/>
      <c r="FR51" s="75"/>
      <c r="FS51" s="156">
        <v>3000.0</v>
      </c>
      <c r="FT51" s="74"/>
      <c r="FU51" s="75"/>
      <c r="FV51" s="156">
        <v>14500.0</v>
      </c>
      <c r="FW51" s="74"/>
      <c r="FX51" s="75"/>
      <c r="FY51" s="156">
        <v>3000.0</v>
      </c>
      <c r="FZ51" s="74"/>
      <c r="GA51" s="75"/>
      <c r="GB51" s="156">
        <v>5000.0</v>
      </c>
      <c r="GC51" s="74"/>
      <c r="GD51" s="75"/>
      <c r="GE51" s="156">
        <v>3000.0</v>
      </c>
      <c r="GF51" s="74"/>
      <c r="GG51" s="75"/>
      <c r="GH51" s="156">
        <v>6400.0</v>
      </c>
      <c r="GI51" s="74"/>
      <c r="GJ51" s="75"/>
      <c r="GK51" s="156">
        <v>2400.0</v>
      </c>
      <c r="GL51" s="74"/>
      <c r="GM51" s="75"/>
      <c r="GN51" s="156"/>
      <c r="GO51" s="74"/>
      <c r="GP51" s="75"/>
      <c r="GQ51" s="156"/>
      <c r="GR51" s="74"/>
      <c r="GS51" s="75"/>
      <c r="GT51" s="156"/>
      <c r="GU51" s="74"/>
      <c r="GV51" s="75"/>
      <c r="GW51" s="156"/>
      <c r="GX51" s="74"/>
      <c r="GY51" s="75"/>
      <c r="GZ51" s="156"/>
      <c r="HA51" s="74"/>
      <c r="HB51" s="75"/>
      <c r="HC51" s="156"/>
      <c r="HD51" s="74"/>
      <c r="HE51" s="75"/>
      <c r="HF51" s="364"/>
    </row>
    <row r="52" ht="15.0" customHeight="1">
      <c r="C52" s="153"/>
      <c r="L52" s="35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31"/>
      <c r="AS52" s="77" t="s">
        <v>75</v>
      </c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5"/>
      <c r="BF52" s="80"/>
      <c r="BG52" s="74"/>
      <c r="BH52" s="75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146"/>
      <c r="CN52" s="146"/>
      <c r="CO52" s="362"/>
      <c r="CP52" s="362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148"/>
      <c r="EP52" s="148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157"/>
      <c r="FF52" s="158"/>
      <c r="FG52" s="31"/>
      <c r="FH52" s="31"/>
      <c r="FI52" s="159">
        <v>20.0</v>
      </c>
      <c r="FJ52" s="5"/>
      <c r="FK52" s="5"/>
      <c r="FL52" s="160" t="s">
        <v>37</v>
      </c>
      <c r="FM52" s="161">
        <f>FM51*FI52/100</f>
        <v>600</v>
      </c>
      <c r="FN52" s="74"/>
      <c r="FO52" s="75"/>
      <c r="FP52" s="161">
        <f>FP51*FI52/100</f>
        <v>600</v>
      </c>
      <c r="FQ52" s="74"/>
      <c r="FR52" s="75"/>
      <c r="FS52" s="161">
        <f>FS51*FI52/100</f>
        <v>600</v>
      </c>
      <c r="FT52" s="74"/>
      <c r="FU52" s="75"/>
      <c r="FV52" s="161">
        <f>FV51*FI52/100</f>
        <v>2900</v>
      </c>
      <c r="FW52" s="74"/>
      <c r="FX52" s="75"/>
      <c r="FY52" s="161">
        <f>FY51*FI52/100</f>
        <v>600</v>
      </c>
      <c r="FZ52" s="74"/>
      <c r="GA52" s="75"/>
      <c r="GB52" s="161">
        <f>GB51*FI52/100</f>
        <v>1000</v>
      </c>
      <c r="GC52" s="74"/>
      <c r="GD52" s="75"/>
      <c r="GE52" s="161">
        <f>GE51*FI52/100</f>
        <v>600</v>
      </c>
      <c r="GF52" s="74"/>
      <c r="GG52" s="75"/>
      <c r="GH52" s="161">
        <f>GH51*FI52/100</f>
        <v>1280</v>
      </c>
      <c r="GI52" s="74"/>
      <c r="GJ52" s="75"/>
      <c r="GK52" s="161">
        <f>GK51*FI52/100</f>
        <v>480</v>
      </c>
      <c r="GL52" s="74"/>
      <c r="GM52" s="75"/>
      <c r="GN52" s="388">
        <f>GN51*FF52/100</f>
        <v>0</v>
      </c>
      <c r="GO52" s="74"/>
      <c r="GP52" s="75"/>
      <c r="GQ52" s="161">
        <f>GQ51*FI52/100</f>
        <v>0</v>
      </c>
      <c r="GR52" s="74"/>
      <c r="GS52" s="75"/>
      <c r="GT52" s="161">
        <f>GT51*FI52/100</f>
        <v>0</v>
      </c>
      <c r="GU52" s="74"/>
      <c r="GV52" s="75"/>
      <c r="GW52" s="161">
        <f>GW51*FI52/100</f>
        <v>0</v>
      </c>
      <c r="GX52" s="74"/>
      <c r="GY52" s="75"/>
      <c r="GZ52" s="161">
        <f>GZ51*FI52/100</f>
        <v>0</v>
      </c>
      <c r="HA52" s="74"/>
      <c r="HB52" s="75"/>
      <c r="HC52" s="161">
        <f>HC51*FI52/100</f>
        <v>0</v>
      </c>
      <c r="HD52" s="74"/>
      <c r="HE52" s="75"/>
      <c r="HF52" s="365"/>
    </row>
    <row r="53" ht="15.0" customHeight="1">
      <c r="C53" s="58"/>
      <c r="D53" s="59"/>
      <c r="E53" s="59"/>
      <c r="F53" s="59"/>
      <c r="G53" s="59"/>
      <c r="H53" s="59"/>
      <c r="I53" s="59"/>
      <c r="J53" s="59"/>
      <c r="K53" s="59"/>
      <c r="L53" s="60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31"/>
      <c r="AS53" s="77" t="s">
        <v>76</v>
      </c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5"/>
      <c r="BF53" s="82" t="str">
        <f>(BF45/BF46)</f>
        <v>#DIV/0!</v>
      </c>
      <c r="BG53" s="74"/>
      <c r="BH53" s="75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146"/>
      <c r="CN53" s="146"/>
      <c r="CO53" s="362"/>
      <c r="CP53" s="362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148"/>
      <c r="EP53" s="148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157"/>
      <c r="FF53" s="158"/>
      <c r="FG53" s="31"/>
      <c r="FH53" s="31"/>
      <c r="FI53" s="148"/>
      <c r="FJ53" s="148"/>
      <c r="FK53" s="148"/>
      <c r="FL53" s="148"/>
      <c r="FM53" s="148"/>
      <c r="FN53" s="148"/>
      <c r="FO53" s="148"/>
      <c r="FP53" s="148"/>
      <c r="FQ53" s="148"/>
      <c r="FR53" s="148"/>
      <c r="FS53" s="148"/>
      <c r="FT53" s="148"/>
      <c r="FU53" s="148"/>
      <c r="FV53" s="148"/>
      <c r="FW53" s="148"/>
      <c r="FX53" s="148"/>
      <c r="FY53" s="148"/>
      <c r="FZ53" s="148"/>
      <c r="GA53" s="148"/>
      <c r="GB53" s="148"/>
      <c r="GC53" s="148"/>
      <c r="GD53" s="148"/>
      <c r="GE53" s="148"/>
      <c r="GF53" s="148"/>
      <c r="GG53" s="148"/>
      <c r="GH53" s="148"/>
      <c r="GI53" s="148"/>
      <c r="GJ53" s="148"/>
      <c r="GK53" s="148"/>
      <c r="GL53" s="148"/>
      <c r="GM53" s="148"/>
      <c r="GN53" s="148"/>
      <c r="GO53" s="148"/>
      <c r="GP53" s="148"/>
      <c r="GQ53" s="148"/>
      <c r="GR53" s="148"/>
      <c r="GS53" s="148"/>
      <c r="GT53" s="148"/>
      <c r="GU53" s="148"/>
      <c r="GV53" s="148"/>
      <c r="GW53" s="148"/>
      <c r="GX53" s="148"/>
      <c r="GY53" s="148"/>
      <c r="GZ53" s="148"/>
      <c r="HA53" s="148"/>
      <c r="HB53" s="148"/>
      <c r="HC53" s="148"/>
      <c r="HD53" s="148"/>
      <c r="HE53" s="148"/>
      <c r="HF53" s="364"/>
    </row>
    <row r="54" ht="15.0" customHeight="1">
      <c r="A54" s="367"/>
      <c r="B54" s="367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146"/>
      <c r="CN54" s="146"/>
      <c r="CO54" s="362"/>
      <c r="CP54" s="362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148"/>
      <c r="EP54" s="148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157"/>
      <c r="FF54" s="158"/>
      <c r="FG54" s="31"/>
      <c r="FH54" s="31"/>
      <c r="FI54" s="170"/>
      <c r="FJ54" s="148"/>
      <c r="FK54" s="148"/>
      <c r="FL54" s="148"/>
      <c r="FM54" s="171"/>
      <c r="FN54" s="148"/>
      <c r="FO54" s="148"/>
      <c r="FP54" s="171"/>
      <c r="FQ54" s="148"/>
      <c r="FR54" s="148"/>
      <c r="FS54" s="171"/>
      <c r="FT54" s="148"/>
      <c r="FU54" s="148"/>
      <c r="FV54" s="171"/>
      <c r="FW54" s="148"/>
      <c r="FX54" s="148"/>
      <c r="FY54" s="171"/>
      <c r="FZ54" s="148"/>
      <c r="GA54" s="148"/>
      <c r="GB54" s="171"/>
      <c r="GC54" s="148"/>
      <c r="GD54" s="148"/>
      <c r="GE54" s="171"/>
      <c r="GF54" s="148"/>
      <c r="GG54" s="148"/>
      <c r="GH54" s="171"/>
      <c r="GI54" s="148"/>
      <c r="GJ54" s="148"/>
      <c r="GK54" s="171"/>
      <c r="GL54" s="148"/>
      <c r="GM54" s="148"/>
      <c r="GN54" s="171"/>
      <c r="GO54" s="148"/>
      <c r="GP54" s="148"/>
      <c r="GQ54" s="171"/>
      <c r="GR54" s="148"/>
      <c r="GS54" s="148"/>
      <c r="GT54" s="171"/>
      <c r="GU54" s="148"/>
      <c r="GV54" s="148"/>
      <c r="GW54" s="171"/>
      <c r="GX54" s="148"/>
      <c r="GY54" s="148"/>
      <c r="GZ54" s="171"/>
      <c r="HA54" s="148"/>
      <c r="HB54" s="148"/>
      <c r="HC54" s="171"/>
      <c r="HD54" s="148"/>
      <c r="HE54" s="148"/>
      <c r="HF54" s="148"/>
    </row>
    <row r="55" ht="15.0" customHeight="1">
      <c r="A55" s="369"/>
      <c r="B55" s="369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370"/>
      <c r="AB55" s="370"/>
      <c r="AC55" s="370"/>
      <c r="AD55" s="370"/>
      <c r="AE55" s="370"/>
      <c r="AF55" s="370"/>
      <c r="AG55" s="370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  <c r="AR55" s="370"/>
      <c r="AS55" s="370"/>
      <c r="AT55" s="370"/>
      <c r="AU55" s="370"/>
      <c r="AV55" s="370"/>
      <c r="AW55" s="370"/>
      <c r="AX55" s="370"/>
      <c r="AY55" s="370"/>
      <c r="AZ55" s="370"/>
      <c r="BA55" s="370"/>
      <c r="BB55" s="370"/>
      <c r="BC55" s="370"/>
      <c r="BD55" s="370"/>
      <c r="BE55" s="370"/>
      <c r="BF55" s="370"/>
      <c r="BG55" s="370"/>
      <c r="BH55" s="370"/>
      <c r="BI55" s="370"/>
      <c r="BJ55" s="370"/>
      <c r="BK55" s="370"/>
      <c r="BL55" s="370"/>
      <c r="BM55" s="370"/>
      <c r="BN55" s="370"/>
      <c r="BO55" s="370"/>
      <c r="BP55" s="370"/>
      <c r="BQ55" s="370"/>
      <c r="BR55" s="370"/>
      <c r="BS55" s="370"/>
      <c r="BT55" s="370"/>
      <c r="BU55" s="370"/>
      <c r="BV55" s="370"/>
      <c r="BW55" s="370"/>
      <c r="BX55" s="370"/>
      <c r="BY55" s="370"/>
      <c r="BZ55" s="370"/>
      <c r="CA55" s="370"/>
      <c r="CB55" s="370"/>
      <c r="CC55" s="370"/>
      <c r="CD55" s="370"/>
      <c r="CE55" s="370"/>
      <c r="CF55" s="370"/>
      <c r="CG55" s="370"/>
      <c r="CH55" s="370"/>
      <c r="CI55" s="370"/>
      <c r="CJ55" s="370"/>
      <c r="CK55" s="370"/>
      <c r="CL55" s="370"/>
      <c r="CM55" s="371"/>
      <c r="CN55" s="371"/>
      <c r="CO55" s="372"/>
      <c r="CP55" s="372"/>
      <c r="CQ55" s="370"/>
      <c r="CR55" s="370"/>
      <c r="CS55" s="370"/>
      <c r="CT55" s="370"/>
      <c r="CU55" s="370"/>
      <c r="CV55" s="370"/>
      <c r="CW55" s="370"/>
      <c r="CX55" s="370"/>
      <c r="CY55" s="370"/>
      <c r="CZ55" s="370"/>
      <c r="DA55" s="370"/>
      <c r="DB55" s="370"/>
      <c r="DC55" s="370"/>
      <c r="DD55" s="370"/>
      <c r="DE55" s="370"/>
      <c r="DF55" s="370"/>
      <c r="DG55" s="370"/>
      <c r="DH55" s="370"/>
      <c r="DI55" s="370"/>
      <c r="DJ55" s="370"/>
      <c r="DK55" s="370"/>
      <c r="DL55" s="370"/>
      <c r="DM55" s="370"/>
      <c r="DN55" s="370"/>
      <c r="DO55" s="370"/>
      <c r="DP55" s="370"/>
      <c r="DQ55" s="370"/>
      <c r="DR55" s="370"/>
      <c r="DS55" s="370"/>
      <c r="DT55" s="370"/>
      <c r="DU55" s="370"/>
      <c r="DV55" s="370"/>
      <c r="DW55" s="370"/>
      <c r="DX55" s="370"/>
      <c r="DY55" s="370"/>
      <c r="DZ55" s="370"/>
      <c r="EA55" s="370"/>
      <c r="EB55" s="370"/>
      <c r="EC55" s="370"/>
      <c r="ED55" s="370"/>
      <c r="EE55" s="370"/>
      <c r="EF55" s="370"/>
      <c r="EG55" s="370"/>
      <c r="EH55" s="370"/>
      <c r="EI55" s="370"/>
      <c r="EJ55" s="370"/>
      <c r="EK55" s="370"/>
      <c r="EL55" s="370"/>
      <c r="EM55" s="370"/>
      <c r="EN55" s="370"/>
      <c r="EO55" s="370"/>
      <c r="EP55" s="370"/>
      <c r="EQ55" s="370"/>
      <c r="ER55" s="370"/>
      <c r="ES55" s="370"/>
      <c r="ET55" s="370"/>
      <c r="EU55" s="370"/>
      <c r="EV55" s="370"/>
      <c r="EW55" s="370"/>
      <c r="EX55" s="370"/>
      <c r="EY55" s="370"/>
      <c r="EZ55" s="370"/>
      <c r="FA55" s="370"/>
      <c r="FB55" s="370"/>
      <c r="FC55" s="370"/>
      <c r="FD55" s="370"/>
      <c r="FE55" s="373"/>
      <c r="FF55" s="374"/>
      <c r="FG55" s="370"/>
      <c r="FH55" s="370"/>
      <c r="FI55" s="370"/>
      <c r="FJ55" s="370"/>
      <c r="FK55" s="370"/>
      <c r="FL55" s="370"/>
      <c r="FM55" s="375"/>
      <c r="FN55" s="370"/>
      <c r="FO55" s="370"/>
      <c r="FP55" s="375"/>
      <c r="FQ55" s="370"/>
      <c r="FR55" s="370"/>
      <c r="FS55" s="375"/>
      <c r="FT55" s="370"/>
      <c r="FU55" s="370"/>
      <c r="FV55" s="375"/>
      <c r="FW55" s="370"/>
      <c r="FX55" s="370"/>
      <c r="FY55" s="375"/>
      <c r="FZ55" s="370"/>
      <c r="GA55" s="370"/>
      <c r="GB55" s="375"/>
      <c r="GC55" s="370"/>
      <c r="GD55" s="370"/>
      <c r="GE55" s="375"/>
      <c r="GF55" s="370"/>
      <c r="GG55" s="370"/>
      <c r="GH55" s="375"/>
      <c r="GI55" s="370"/>
      <c r="GJ55" s="370"/>
      <c r="GK55" s="375"/>
      <c r="GL55" s="370"/>
      <c r="GM55" s="370"/>
      <c r="GN55" s="375"/>
      <c r="GO55" s="370"/>
      <c r="GP55" s="370"/>
      <c r="GQ55" s="375"/>
      <c r="GR55" s="370"/>
      <c r="GS55" s="370"/>
      <c r="GT55" s="375"/>
      <c r="GU55" s="370"/>
      <c r="GV55" s="370"/>
      <c r="GW55" s="375"/>
      <c r="GX55" s="370"/>
      <c r="GY55" s="370"/>
      <c r="GZ55" s="375"/>
      <c r="HA55" s="370"/>
      <c r="HB55" s="370"/>
      <c r="HC55" s="375"/>
      <c r="HD55" s="370"/>
      <c r="HE55" s="370"/>
      <c r="HF55" s="370"/>
    </row>
    <row r="56" ht="15.0" customHeight="1">
      <c r="A56" s="376"/>
      <c r="B56" s="376"/>
      <c r="C56" s="377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  <c r="AH56" s="377"/>
      <c r="AI56" s="377"/>
      <c r="AJ56" s="377"/>
      <c r="AK56" s="377"/>
      <c r="AL56" s="377"/>
      <c r="AM56" s="377"/>
      <c r="AN56" s="377"/>
      <c r="AO56" s="377"/>
      <c r="AP56" s="377"/>
      <c r="AQ56" s="377"/>
      <c r="AR56" s="377"/>
      <c r="AS56" s="377"/>
      <c r="AT56" s="377"/>
      <c r="AU56" s="377"/>
      <c r="AV56" s="377"/>
      <c r="AW56" s="377"/>
      <c r="AX56" s="377"/>
      <c r="AY56" s="377"/>
      <c r="AZ56" s="377"/>
      <c r="BA56" s="377"/>
      <c r="BB56" s="377"/>
      <c r="BC56" s="377"/>
      <c r="BD56" s="377"/>
      <c r="BE56" s="377"/>
      <c r="BF56" s="377"/>
      <c r="BG56" s="377"/>
      <c r="BH56" s="377"/>
      <c r="BI56" s="377"/>
      <c r="BJ56" s="377"/>
      <c r="BK56" s="377"/>
      <c r="BL56" s="377"/>
      <c r="BM56" s="377"/>
      <c r="BN56" s="377"/>
      <c r="BO56" s="377"/>
      <c r="BP56" s="377"/>
      <c r="BQ56" s="377"/>
      <c r="BR56" s="377"/>
      <c r="BS56" s="377"/>
      <c r="BT56" s="377"/>
      <c r="BU56" s="377"/>
      <c r="BV56" s="377"/>
      <c r="BW56" s="377"/>
      <c r="BX56" s="377"/>
      <c r="BY56" s="377"/>
      <c r="BZ56" s="377"/>
      <c r="CA56" s="377"/>
      <c r="CB56" s="377"/>
      <c r="CC56" s="377"/>
      <c r="CD56" s="377"/>
      <c r="CE56" s="377"/>
      <c r="CF56" s="377"/>
      <c r="CG56" s="377"/>
      <c r="CH56" s="377"/>
      <c r="CI56" s="377"/>
      <c r="CJ56" s="377"/>
      <c r="CK56" s="377"/>
      <c r="CL56" s="377"/>
      <c r="CM56" s="378"/>
      <c r="CN56" s="378"/>
      <c r="CO56" s="362"/>
      <c r="CP56" s="362"/>
      <c r="CQ56" s="377"/>
      <c r="CR56" s="377"/>
      <c r="CS56" s="377"/>
      <c r="CT56" s="377"/>
      <c r="CU56" s="377"/>
      <c r="CV56" s="377"/>
      <c r="CW56" s="377"/>
      <c r="CX56" s="377"/>
      <c r="CY56" s="377"/>
      <c r="CZ56" s="377"/>
      <c r="DA56" s="377"/>
      <c r="DB56" s="377"/>
      <c r="DC56" s="377"/>
      <c r="DD56" s="377"/>
      <c r="DE56" s="377"/>
      <c r="DF56" s="377"/>
      <c r="DG56" s="377"/>
      <c r="DH56" s="377"/>
      <c r="DI56" s="377"/>
      <c r="DJ56" s="377"/>
      <c r="DK56" s="377"/>
      <c r="DL56" s="377"/>
      <c r="DM56" s="377"/>
      <c r="DN56" s="377"/>
      <c r="DO56" s="377"/>
      <c r="DP56" s="377"/>
      <c r="DQ56" s="377"/>
      <c r="DR56" s="377"/>
      <c r="DS56" s="377"/>
      <c r="DT56" s="377"/>
      <c r="DU56" s="377"/>
      <c r="DV56" s="377"/>
      <c r="DW56" s="377"/>
      <c r="DX56" s="377"/>
      <c r="DY56" s="377"/>
      <c r="DZ56" s="377"/>
      <c r="EA56" s="377"/>
      <c r="EB56" s="377"/>
      <c r="EC56" s="377"/>
      <c r="ED56" s="377"/>
      <c r="EE56" s="377"/>
      <c r="EF56" s="377"/>
      <c r="EG56" s="377"/>
      <c r="EH56" s="377"/>
      <c r="EI56" s="377"/>
      <c r="EJ56" s="377"/>
      <c r="EK56" s="377"/>
      <c r="EL56" s="377"/>
      <c r="EM56" s="377"/>
      <c r="EN56" s="377"/>
      <c r="EO56" s="377"/>
      <c r="EP56" s="377"/>
      <c r="EQ56" s="377"/>
      <c r="ER56" s="377"/>
      <c r="ES56" s="377"/>
      <c r="ET56" s="377"/>
      <c r="EU56" s="377"/>
      <c r="EV56" s="377"/>
      <c r="EW56" s="377"/>
      <c r="EX56" s="377"/>
      <c r="EY56" s="377"/>
      <c r="EZ56" s="377"/>
      <c r="FA56" s="377"/>
      <c r="FB56" s="377"/>
      <c r="FC56" s="377"/>
      <c r="FD56" s="377"/>
      <c r="FE56" s="379"/>
      <c r="FF56" s="379"/>
      <c r="FG56" s="377"/>
      <c r="FH56" s="377"/>
      <c r="FI56" s="380"/>
      <c r="FJ56" s="381"/>
      <c r="FK56" s="381"/>
      <c r="FL56" s="381"/>
      <c r="FM56" s="380"/>
      <c r="FN56" s="381"/>
      <c r="FO56" s="381"/>
      <c r="FP56" s="380"/>
      <c r="FQ56" s="381"/>
      <c r="FR56" s="381"/>
      <c r="FS56" s="380"/>
      <c r="FT56" s="381"/>
      <c r="FU56" s="381"/>
      <c r="FV56" s="380"/>
      <c r="FW56" s="381"/>
      <c r="FX56" s="381"/>
      <c r="FY56" s="380"/>
      <c r="FZ56" s="381"/>
      <c r="GA56" s="381"/>
      <c r="GB56" s="380"/>
      <c r="GC56" s="381"/>
      <c r="GD56" s="381"/>
      <c r="GE56" s="380"/>
      <c r="GF56" s="381"/>
      <c r="GG56" s="381"/>
      <c r="GH56" s="380"/>
      <c r="GI56" s="381"/>
      <c r="GJ56" s="381"/>
      <c r="GK56" s="380"/>
      <c r="GL56" s="381"/>
      <c r="GM56" s="381"/>
      <c r="GN56" s="380"/>
      <c r="GO56" s="381"/>
      <c r="GP56" s="381"/>
      <c r="GQ56" s="380"/>
      <c r="GR56" s="381"/>
      <c r="GS56" s="381"/>
      <c r="GT56" s="380"/>
      <c r="GU56" s="381"/>
      <c r="GV56" s="381"/>
      <c r="GW56" s="380"/>
      <c r="GX56" s="381"/>
      <c r="GY56" s="381"/>
      <c r="GZ56" s="380"/>
      <c r="HA56" s="381"/>
      <c r="HB56" s="381"/>
      <c r="HC56" s="380"/>
      <c r="HD56" s="381"/>
      <c r="HE56" s="381"/>
      <c r="HF56" s="381"/>
    </row>
    <row r="57" ht="15.0" customHeight="1">
      <c r="A57" s="382"/>
      <c r="B57" s="382"/>
      <c r="C57" s="192" t="s">
        <v>0</v>
      </c>
      <c r="AR57" s="193"/>
      <c r="AS57" s="195" t="s">
        <v>2</v>
      </c>
      <c r="BX57" s="193"/>
      <c r="BY57" s="192" t="s">
        <v>3</v>
      </c>
      <c r="CQ57" s="193"/>
      <c r="CR57" s="192" t="s">
        <v>4</v>
      </c>
      <c r="DK57" s="193"/>
      <c r="DL57" s="195" t="s">
        <v>158</v>
      </c>
      <c r="FE57" s="196"/>
      <c r="FF57" s="196"/>
      <c r="FG57" s="197"/>
      <c r="FH57" s="198"/>
      <c r="FI57" s="194" t="s">
        <v>1</v>
      </c>
      <c r="HF57" s="383"/>
    </row>
    <row r="58" ht="15.0" customHeight="1">
      <c r="A58" s="389" t="s">
        <v>159</v>
      </c>
      <c r="C58" s="26" t="s">
        <v>7</v>
      </c>
      <c r="D58" s="27"/>
      <c r="E58" s="27"/>
      <c r="F58" s="27"/>
      <c r="G58" s="27"/>
      <c r="H58" s="27"/>
      <c r="I58" s="27"/>
      <c r="J58" s="27"/>
      <c r="K58" s="28"/>
      <c r="L58" s="29" t="s">
        <v>8</v>
      </c>
      <c r="M58" s="390">
        <v>44287.0</v>
      </c>
      <c r="N58" s="390">
        <v>44288.0</v>
      </c>
      <c r="O58" s="390">
        <v>44289.0</v>
      </c>
      <c r="P58" s="390">
        <v>44290.0</v>
      </c>
      <c r="Q58" s="390">
        <v>44291.0</v>
      </c>
      <c r="R58" s="390">
        <v>44292.0</v>
      </c>
      <c r="S58" s="390">
        <v>44293.0</v>
      </c>
      <c r="T58" s="390">
        <v>44294.0</v>
      </c>
      <c r="U58" s="390">
        <v>44295.0</v>
      </c>
      <c r="V58" s="390">
        <v>44296.0</v>
      </c>
      <c r="W58" s="391">
        <v>44297.0</v>
      </c>
      <c r="X58" s="390">
        <v>44298.0</v>
      </c>
      <c r="Y58" s="390">
        <v>44299.0</v>
      </c>
      <c r="Z58" s="390">
        <v>44300.0</v>
      </c>
      <c r="AA58" s="390">
        <v>44301.0</v>
      </c>
      <c r="AB58" s="390">
        <v>44302.0</v>
      </c>
      <c r="AC58" s="390">
        <v>44303.0</v>
      </c>
      <c r="AD58" s="390">
        <v>44304.0</v>
      </c>
      <c r="AE58" s="390">
        <v>44305.0</v>
      </c>
      <c r="AF58" s="390">
        <v>44306.0</v>
      </c>
      <c r="AG58" s="390">
        <v>44307.0</v>
      </c>
      <c r="AH58" s="390">
        <v>44308.0</v>
      </c>
      <c r="AI58" s="390">
        <v>44309.0</v>
      </c>
      <c r="AJ58" s="390">
        <v>44310.0</v>
      </c>
      <c r="AK58" s="390">
        <v>44311.0</v>
      </c>
      <c r="AL58" s="390">
        <v>44312.0</v>
      </c>
      <c r="AM58" s="390">
        <v>44313.0</v>
      </c>
      <c r="AN58" s="390">
        <v>44314.0</v>
      </c>
      <c r="AO58" s="390">
        <v>44315.0</v>
      </c>
      <c r="AP58" s="390">
        <v>44316.0</v>
      </c>
      <c r="AQ58" s="390">
        <v>44317.0</v>
      </c>
      <c r="AR58" s="31"/>
      <c r="AS58" s="201" t="s">
        <v>11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6"/>
      <c r="BF58" s="392" t="s">
        <v>12</v>
      </c>
      <c r="BG58" s="39"/>
      <c r="BH58" s="40"/>
      <c r="BI58" s="392" t="s">
        <v>13</v>
      </c>
      <c r="BJ58" s="39"/>
      <c r="BK58" s="40"/>
      <c r="BL58" s="204" t="s">
        <v>15</v>
      </c>
      <c r="BM58" s="5"/>
      <c r="BN58" s="6"/>
      <c r="BO58" s="393" t="s">
        <v>14</v>
      </c>
      <c r="BP58" s="5"/>
      <c r="BQ58" s="6"/>
      <c r="BR58" s="394" t="s">
        <v>16</v>
      </c>
      <c r="BS58" s="39"/>
      <c r="BT58" s="40"/>
      <c r="BU58" s="205" t="s">
        <v>17</v>
      </c>
      <c r="BV58" s="5"/>
      <c r="BW58" s="6"/>
      <c r="BX58" s="31"/>
      <c r="BY58" s="206" t="s">
        <v>18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6"/>
      <c r="CM58" s="46" t="s">
        <v>12</v>
      </c>
      <c r="CN58" s="40"/>
      <c r="CO58" s="47" t="s">
        <v>19</v>
      </c>
      <c r="CP58" s="40"/>
      <c r="CQ58" s="31"/>
      <c r="CR58" s="206" t="s">
        <v>20</v>
      </c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6"/>
      <c r="DH58" s="48" t="s">
        <v>21</v>
      </c>
      <c r="DI58" s="39"/>
      <c r="DJ58" s="40"/>
      <c r="DK58" s="31"/>
      <c r="DL58" s="49" t="s">
        <v>22</v>
      </c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8"/>
      <c r="DX58" s="50" t="s">
        <v>23</v>
      </c>
      <c r="DY58" s="28"/>
      <c r="DZ58" s="395">
        <v>44317.0</v>
      </c>
      <c r="EA58" s="395">
        <v>44318.0</v>
      </c>
      <c r="EB58" s="395">
        <v>44319.0</v>
      </c>
      <c r="EC58" s="395">
        <v>44320.0</v>
      </c>
      <c r="ED58" s="395">
        <v>44321.0</v>
      </c>
      <c r="EE58" s="395">
        <v>44322.0</v>
      </c>
      <c r="EF58" s="395">
        <v>44323.0</v>
      </c>
      <c r="EG58" s="395">
        <v>44324.0</v>
      </c>
      <c r="EH58" s="395">
        <v>44325.0</v>
      </c>
      <c r="EI58" s="395">
        <v>44326.0</v>
      </c>
      <c r="EJ58" s="395">
        <v>44327.0</v>
      </c>
      <c r="EK58" s="395">
        <v>44328.0</v>
      </c>
      <c r="EL58" s="395">
        <v>44329.0</v>
      </c>
      <c r="EM58" s="395">
        <v>44330.0</v>
      </c>
      <c r="EN58" s="395">
        <v>44331.0</v>
      </c>
      <c r="EO58" s="395">
        <v>44332.0</v>
      </c>
      <c r="EP58" s="395">
        <v>44333.0</v>
      </c>
      <c r="EQ58" s="395">
        <v>44334.0</v>
      </c>
      <c r="ER58" s="395">
        <v>44335.0</v>
      </c>
      <c r="ES58" s="395">
        <v>44336.0</v>
      </c>
      <c r="ET58" s="395">
        <v>44337.0</v>
      </c>
      <c r="EU58" s="395">
        <v>44338.0</v>
      </c>
      <c r="EV58" s="395">
        <v>44339.0</v>
      </c>
      <c r="EW58" s="395">
        <v>44340.0</v>
      </c>
      <c r="EX58" s="395">
        <v>44341.0</v>
      </c>
      <c r="EY58" s="395">
        <v>44342.0</v>
      </c>
      <c r="EZ58" s="395">
        <v>44343.0</v>
      </c>
      <c r="FA58" s="395">
        <v>44344.0</v>
      </c>
      <c r="FB58" s="395">
        <v>44345.0</v>
      </c>
      <c r="FC58" s="395">
        <v>44346.0</v>
      </c>
      <c r="FD58" s="395">
        <v>44347.0</v>
      </c>
      <c r="FE58" s="52" t="s">
        <v>24</v>
      </c>
      <c r="FH58" s="53"/>
      <c r="FI58" s="132" t="s">
        <v>9</v>
      </c>
      <c r="FJ58" s="27"/>
      <c r="FK58" s="27"/>
      <c r="FL58" s="28"/>
      <c r="FM58" s="199"/>
      <c r="FN58" s="134"/>
      <c r="FO58" s="135"/>
      <c r="FP58" s="199"/>
      <c r="FQ58" s="134"/>
      <c r="FR58" s="135"/>
      <c r="FS58" s="199"/>
      <c r="FT58" s="134"/>
      <c r="FU58" s="135"/>
      <c r="FV58" s="199"/>
      <c r="FW58" s="134"/>
      <c r="FX58" s="135"/>
      <c r="FY58" s="200"/>
      <c r="FZ58" s="134"/>
      <c r="GA58" s="135"/>
      <c r="GB58" s="200"/>
      <c r="GC58" s="134"/>
      <c r="GD58" s="135"/>
      <c r="GE58" s="200"/>
      <c r="GF58" s="134"/>
      <c r="GG58" s="135"/>
      <c r="GH58" s="200"/>
      <c r="GI58" s="134"/>
      <c r="GJ58" s="135"/>
      <c r="GK58" s="200"/>
      <c r="GL58" s="134"/>
      <c r="GM58" s="135"/>
      <c r="GN58" s="200"/>
      <c r="GO58" s="134"/>
      <c r="GP58" s="135"/>
      <c r="GQ58" s="200"/>
      <c r="GR58" s="134"/>
      <c r="GS58" s="135"/>
      <c r="GT58" s="200"/>
      <c r="GU58" s="134"/>
      <c r="GV58" s="135"/>
      <c r="GW58" s="200"/>
      <c r="GX58" s="134"/>
      <c r="GY58" s="135"/>
      <c r="GZ58" s="200"/>
      <c r="HA58" s="134"/>
      <c r="HB58" s="135"/>
      <c r="HC58" s="200"/>
      <c r="HD58" s="134"/>
      <c r="HE58" s="135"/>
      <c r="HF58" s="356"/>
    </row>
    <row r="59" ht="15.0" customHeight="1">
      <c r="C59" s="55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31"/>
      <c r="AS59" s="62" t="s">
        <v>25</v>
      </c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60"/>
      <c r="BF59" s="63">
        <f t="shared" ref="BF59:BF64" si="16">SUM(M62:AQ62)</f>
        <v>0</v>
      </c>
      <c r="BG59" s="59"/>
      <c r="BH59" s="60"/>
      <c r="BI59" s="384">
        <v>0.0</v>
      </c>
      <c r="BJ59" s="59"/>
      <c r="BK59" s="60"/>
      <c r="BL59" s="63">
        <v>0.0</v>
      </c>
      <c r="BM59" s="59"/>
      <c r="BN59" s="60"/>
      <c r="BO59" s="65">
        <v>0.0</v>
      </c>
      <c r="BP59" s="59"/>
      <c r="BQ59" s="60"/>
      <c r="BR59" s="66">
        <v>0.0</v>
      </c>
      <c r="BS59" s="59"/>
      <c r="BT59" s="60"/>
      <c r="BU59" s="67">
        <f>(BI59-BF59)/'График'!AK16</f>
        <v>0</v>
      </c>
      <c r="BV59" s="59"/>
      <c r="BW59" s="60"/>
      <c r="BX59" s="31"/>
      <c r="BY59" s="68" t="s">
        <v>26</v>
      </c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60"/>
      <c r="CM59" s="66" t="str">
        <f>BF62*100/BF59</f>
        <v>#DIV/0!</v>
      </c>
      <c r="CN59" s="60"/>
      <c r="CO59" s="66" t="str">
        <f>((BF61*100/BF59)+CM41)/2</f>
        <v>#DIV/0!</v>
      </c>
      <c r="CP59" s="60"/>
      <c r="CQ59" s="31"/>
      <c r="CR59" s="68" t="s">
        <v>27</v>
      </c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60"/>
      <c r="DH59" s="71">
        <f>FE68</f>
        <v>2500</v>
      </c>
      <c r="DI59" s="59"/>
      <c r="DJ59" s="60"/>
      <c r="DK59" s="31"/>
      <c r="DL59" s="55"/>
      <c r="DW59" s="33"/>
      <c r="DX59" s="55"/>
      <c r="DY59" s="33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H59" s="53"/>
      <c r="FI59" s="57"/>
      <c r="FJ59" s="39"/>
      <c r="FK59" s="39"/>
      <c r="FL59" s="40"/>
      <c r="FM59" s="58"/>
      <c r="FN59" s="59"/>
      <c r="FO59" s="60"/>
      <c r="FP59" s="58"/>
      <c r="FQ59" s="59"/>
      <c r="FR59" s="60"/>
      <c r="FS59" s="58"/>
      <c r="FT59" s="59"/>
      <c r="FU59" s="60"/>
      <c r="FV59" s="58"/>
      <c r="FW59" s="59"/>
      <c r="FX59" s="60"/>
      <c r="FY59" s="58"/>
      <c r="FZ59" s="59"/>
      <c r="GA59" s="60"/>
      <c r="GB59" s="58"/>
      <c r="GC59" s="59"/>
      <c r="GD59" s="60"/>
      <c r="GE59" s="58"/>
      <c r="GF59" s="59"/>
      <c r="GG59" s="60"/>
      <c r="GH59" s="58"/>
      <c r="GI59" s="59"/>
      <c r="GJ59" s="60"/>
      <c r="GK59" s="58"/>
      <c r="GL59" s="59"/>
      <c r="GM59" s="60"/>
      <c r="GN59" s="58"/>
      <c r="GO59" s="59"/>
      <c r="GP59" s="60"/>
      <c r="GQ59" s="58"/>
      <c r="GR59" s="59"/>
      <c r="GS59" s="60"/>
      <c r="GT59" s="58"/>
      <c r="GU59" s="59"/>
      <c r="GV59" s="60"/>
      <c r="GW59" s="58"/>
      <c r="GX59" s="59"/>
      <c r="GY59" s="60"/>
      <c r="GZ59" s="58"/>
      <c r="HA59" s="59"/>
      <c r="HB59" s="60"/>
      <c r="HC59" s="58"/>
      <c r="HD59" s="59"/>
      <c r="HE59" s="60"/>
      <c r="HF59" s="356"/>
    </row>
    <row r="60" ht="15.0" customHeight="1">
      <c r="C60" s="55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31"/>
      <c r="AS60" s="77" t="s">
        <v>28</v>
      </c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5"/>
      <c r="BF60" s="78">
        <f t="shared" si="16"/>
        <v>0</v>
      </c>
      <c r="BG60" s="74"/>
      <c r="BH60" s="75"/>
      <c r="BI60" s="385">
        <v>60.0</v>
      </c>
      <c r="BJ60" s="74"/>
      <c r="BK60" s="75"/>
      <c r="BL60" s="78">
        <f t="shared" ref="BL60:BL63" si="17">IF(BF60&lt;BI60,BF60,IF(BF60&gt;=BI60,BI60))</f>
        <v>0</v>
      </c>
      <c r="BM60" s="74"/>
      <c r="BN60" s="75"/>
      <c r="BO60" s="80">
        <f t="shared" ref="BO60:BO63" si="18">2500*BR60/100</f>
        <v>0</v>
      </c>
      <c r="BP60" s="74"/>
      <c r="BQ60" s="75"/>
      <c r="BR60" s="81">
        <f t="shared" ref="BR60:BR63" si="19">BL60*100/BI60</f>
        <v>0</v>
      </c>
      <c r="BS60" s="74"/>
      <c r="BT60" s="75"/>
      <c r="BU60" s="82">
        <f>(BI60-BF60)/'График'!AK16</f>
        <v>2.608695652</v>
      </c>
      <c r="BV60" s="74"/>
      <c r="BW60" s="75"/>
      <c r="BX60" s="31"/>
      <c r="BY60" s="83" t="s">
        <v>29</v>
      </c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5"/>
      <c r="CM60" s="81" t="str">
        <f>BF61*100/BF59</f>
        <v>#DIV/0!</v>
      </c>
      <c r="CN60" s="75"/>
      <c r="CO60" s="81" t="str">
        <f>((BF61*100/BF59)+CM42)/2</f>
        <v>#DIV/0!</v>
      </c>
      <c r="CP60" s="75"/>
      <c r="CQ60" s="31"/>
      <c r="CR60" s="92" t="s">
        <v>30</v>
      </c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C60" s="74"/>
      <c r="DD60" s="74"/>
      <c r="DE60" s="74"/>
      <c r="DF60" s="74"/>
      <c r="DG60" s="75"/>
      <c r="DH60" s="85">
        <f>sum(BO60:BQ63,BO65)</f>
        <v>0</v>
      </c>
      <c r="DI60" s="74"/>
      <c r="DJ60" s="75"/>
      <c r="DK60" s="31"/>
      <c r="DL60" s="55"/>
      <c r="DW60" s="33"/>
      <c r="DX60" s="55"/>
      <c r="DY60" s="33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H60" s="53"/>
      <c r="FI60" s="72" t="s">
        <v>21</v>
      </c>
      <c r="FJ60" s="27"/>
      <c r="FK60" s="27"/>
      <c r="FL60" s="28"/>
      <c r="FM60" s="73"/>
      <c r="FN60" s="74"/>
      <c r="FO60" s="75"/>
      <c r="FP60" s="73"/>
      <c r="FQ60" s="74"/>
      <c r="FR60" s="75"/>
      <c r="FS60" s="73"/>
      <c r="FT60" s="74"/>
      <c r="FU60" s="75"/>
      <c r="FV60" s="73"/>
      <c r="FW60" s="74"/>
      <c r="FX60" s="75"/>
      <c r="FY60" s="76"/>
      <c r="FZ60" s="74"/>
      <c r="GA60" s="75"/>
      <c r="GB60" s="76"/>
      <c r="GC60" s="74"/>
      <c r="GD60" s="75"/>
      <c r="GE60" s="76"/>
      <c r="GF60" s="74"/>
      <c r="GG60" s="75"/>
      <c r="GH60" s="76"/>
      <c r="GI60" s="74"/>
      <c r="GJ60" s="75"/>
      <c r="GK60" s="76"/>
      <c r="GL60" s="74"/>
      <c r="GM60" s="75"/>
      <c r="GN60" s="76"/>
      <c r="GO60" s="74"/>
      <c r="GP60" s="75"/>
      <c r="GQ60" s="76"/>
      <c r="GR60" s="74"/>
      <c r="GS60" s="75"/>
      <c r="GT60" s="76"/>
      <c r="GU60" s="74"/>
      <c r="GV60" s="75"/>
      <c r="GW60" s="76"/>
      <c r="GX60" s="74"/>
      <c r="GY60" s="75"/>
      <c r="GZ60" s="76"/>
      <c r="HA60" s="74"/>
      <c r="HB60" s="75"/>
      <c r="HC60" s="76"/>
      <c r="HD60" s="74"/>
      <c r="HE60" s="75"/>
      <c r="HF60" s="356"/>
    </row>
    <row r="61" ht="15.0" customHeight="1">
      <c r="C61" s="57"/>
      <c r="D61" s="39"/>
      <c r="E61" s="39"/>
      <c r="F61" s="39"/>
      <c r="G61" s="39"/>
      <c r="H61" s="39"/>
      <c r="I61" s="39"/>
      <c r="J61" s="39"/>
      <c r="K61" s="40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31"/>
      <c r="AS61" s="91" t="s">
        <v>32</v>
      </c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5"/>
      <c r="BF61" s="78">
        <f t="shared" si="16"/>
        <v>0</v>
      </c>
      <c r="BG61" s="74"/>
      <c r="BH61" s="75"/>
      <c r="BI61" s="385">
        <v>30.0</v>
      </c>
      <c r="BJ61" s="74"/>
      <c r="BK61" s="75"/>
      <c r="BL61" s="78">
        <f t="shared" si="17"/>
        <v>0</v>
      </c>
      <c r="BM61" s="74"/>
      <c r="BN61" s="75"/>
      <c r="BO61" s="80">
        <f t="shared" si="18"/>
        <v>0</v>
      </c>
      <c r="BP61" s="74"/>
      <c r="BQ61" s="75"/>
      <c r="BR61" s="81">
        <f t="shared" si="19"/>
        <v>0</v>
      </c>
      <c r="BS61" s="74"/>
      <c r="BT61" s="75"/>
      <c r="BU61" s="82">
        <f>(BI61-BF61)/'График'!AK16</f>
        <v>1.304347826</v>
      </c>
      <c r="BV61" s="74"/>
      <c r="BW61" s="75"/>
      <c r="BX61" s="31"/>
      <c r="BY61" s="92" t="s">
        <v>33</v>
      </c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  <c r="CL61" s="75"/>
      <c r="CM61" s="81" t="str">
        <f>BF63*100/BF59</f>
        <v>#DIV/0!</v>
      </c>
      <c r="CN61" s="75"/>
      <c r="CO61" s="81" t="str">
        <f>((BF63*100/BF59)+CM43)/2</f>
        <v>#DIV/0!</v>
      </c>
      <c r="CP61" s="75"/>
      <c r="CQ61" s="31"/>
      <c r="CR61" s="92" t="s">
        <v>34</v>
      </c>
      <c r="CS61" s="74"/>
      <c r="CT61" s="74"/>
      <c r="CU61" s="74"/>
      <c r="CV61" s="74"/>
      <c r="CW61" s="74"/>
      <c r="CX61" s="74"/>
      <c r="CY61" s="74"/>
      <c r="CZ61" s="74"/>
      <c r="DA61" s="74"/>
      <c r="DB61" s="74"/>
      <c r="DC61" s="74"/>
      <c r="DD61" s="74"/>
      <c r="DE61" s="74"/>
      <c r="DF61" s="74"/>
      <c r="DG61" s="75"/>
      <c r="DH61" s="93">
        <f>sum(BR60,BR61,BR62,BR63,BR65)/5</f>
        <v>0</v>
      </c>
      <c r="DI61" s="74"/>
      <c r="DJ61" s="75"/>
      <c r="DK61" s="31"/>
      <c r="DL61" s="57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40"/>
      <c r="DX61" s="57"/>
      <c r="DY61" s="40"/>
      <c r="DZ61" s="86"/>
      <c r="EA61" s="86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H61" s="53"/>
      <c r="FI61" s="87" t="s">
        <v>31</v>
      </c>
      <c r="FJ61" s="88"/>
      <c r="FK61" s="88"/>
      <c r="FL61" s="89"/>
      <c r="FM61" s="90">
        <v>1.0</v>
      </c>
      <c r="FN61" s="59"/>
      <c r="FO61" s="60"/>
      <c r="FP61" s="90">
        <v>2.0</v>
      </c>
      <c r="FQ61" s="59"/>
      <c r="FR61" s="60"/>
      <c r="FS61" s="90">
        <v>3.0</v>
      </c>
      <c r="FT61" s="59"/>
      <c r="FU61" s="60"/>
      <c r="FV61" s="90">
        <v>4.0</v>
      </c>
      <c r="FW61" s="59"/>
      <c r="FX61" s="60"/>
      <c r="FY61" s="90">
        <v>5.0</v>
      </c>
      <c r="FZ61" s="59"/>
      <c r="GA61" s="60"/>
      <c r="GB61" s="90">
        <v>6.0</v>
      </c>
      <c r="GC61" s="59"/>
      <c r="GD61" s="60"/>
      <c r="GE61" s="90">
        <v>7.0</v>
      </c>
      <c r="GF61" s="59"/>
      <c r="GG61" s="60"/>
      <c r="GH61" s="90">
        <v>8.0</v>
      </c>
      <c r="GI61" s="59"/>
      <c r="GJ61" s="60"/>
      <c r="GK61" s="90">
        <v>9.0</v>
      </c>
      <c r="GL61" s="59"/>
      <c r="GM61" s="60"/>
      <c r="GN61" s="90">
        <v>10.0</v>
      </c>
      <c r="GO61" s="59"/>
      <c r="GP61" s="60"/>
      <c r="GQ61" s="90">
        <v>11.0</v>
      </c>
      <c r="GR61" s="59"/>
      <c r="GS61" s="60"/>
      <c r="GT61" s="90">
        <v>12.0</v>
      </c>
      <c r="GU61" s="59"/>
      <c r="GV61" s="60"/>
      <c r="GW61" s="90">
        <v>13.0</v>
      </c>
      <c r="GX61" s="59"/>
      <c r="GY61" s="60"/>
      <c r="GZ61" s="90">
        <v>14.0</v>
      </c>
      <c r="HA61" s="59"/>
      <c r="HB61" s="60"/>
      <c r="HC61" s="90">
        <v>15.0</v>
      </c>
      <c r="HD61" s="59"/>
      <c r="HE61" s="60"/>
      <c r="HF61" s="356"/>
    </row>
    <row r="62" ht="15.0" customHeight="1">
      <c r="C62" s="95" t="s">
        <v>35</v>
      </c>
      <c r="D62" s="59"/>
      <c r="E62" s="59"/>
      <c r="F62" s="59"/>
      <c r="G62" s="59"/>
      <c r="H62" s="59"/>
      <c r="I62" s="59"/>
      <c r="J62" s="59"/>
      <c r="K62" s="59"/>
      <c r="L62" s="60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357"/>
      <c r="Y62" s="357"/>
      <c r="Z62" s="97"/>
      <c r="AA62" s="97"/>
      <c r="AB62" s="357"/>
      <c r="AC62" s="357"/>
      <c r="AD62" s="357"/>
      <c r="AE62" s="97"/>
      <c r="AF62" s="97"/>
      <c r="AG62" s="35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31"/>
      <c r="AS62" s="91" t="s">
        <v>38</v>
      </c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5"/>
      <c r="BF62" s="78">
        <f t="shared" si="16"/>
        <v>0</v>
      </c>
      <c r="BG62" s="74"/>
      <c r="BH62" s="75"/>
      <c r="BI62" s="385">
        <v>20.0</v>
      </c>
      <c r="BJ62" s="74"/>
      <c r="BK62" s="75"/>
      <c r="BL62" s="78">
        <f t="shared" si="17"/>
        <v>0</v>
      </c>
      <c r="BM62" s="74"/>
      <c r="BN62" s="75"/>
      <c r="BO62" s="80">
        <f t="shared" si="18"/>
        <v>0</v>
      </c>
      <c r="BP62" s="74"/>
      <c r="BQ62" s="75"/>
      <c r="BR62" s="81">
        <f t="shared" si="19"/>
        <v>0</v>
      </c>
      <c r="BS62" s="74"/>
      <c r="BT62" s="75"/>
      <c r="BU62" s="82">
        <f>(BI62-BF62)/'График'!AK16</f>
        <v>0.8695652174</v>
      </c>
      <c r="BV62" s="74"/>
      <c r="BW62" s="75"/>
      <c r="BX62" s="31"/>
      <c r="BY62" s="83" t="s">
        <v>39</v>
      </c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5"/>
      <c r="CM62" s="81" t="str">
        <f>BF61*100/BF60</f>
        <v>#DIV/0!</v>
      </c>
      <c r="CN62" s="75"/>
      <c r="CO62" s="81" t="str">
        <f>((BF61*100/BF60)+CM44)/2</f>
        <v>#DIV/0!</v>
      </c>
      <c r="CP62" s="75"/>
      <c r="CQ62" s="31"/>
      <c r="CR62" s="83" t="s">
        <v>45</v>
      </c>
      <c r="CS62" s="74"/>
      <c r="CT62" s="74"/>
      <c r="CU62" s="74"/>
      <c r="CV62" s="74"/>
      <c r="CW62" s="74"/>
      <c r="CX62" s="74"/>
      <c r="CY62" s="74"/>
      <c r="CZ62" s="74"/>
      <c r="DA62" s="74"/>
      <c r="DB62" s="74"/>
      <c r="DC62" s="74"/>
      <c r="DD62" s="74"/>
      <c r="DE62" s="74"/>
      <c r="DF62" s="74"/>
      <c r="DG62" s="75"/>
      <c r="DH62" s="85">
        <f>FI45</f>
        <v>0</v>
      </c>
      <c r="DI62" s="74"/>
      <c r="DJ62" s="75"/>
      <c r="DK62" s="31"/>
      <c r="DL62" s="95" t="s">
        <v>41</v>
      </c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60"/>
      <c r="DX62" s="103">
        <v>200.0</v>
      </c>
      <c r="DY62" s="60"/>
      <c r="DZ62" s="106">
        <v>1.0</v>
      </c>
      <c r="EA62" s="105"/>
      <c r="EB62" s="106"/>
      <c r="EC62" s="105"/>
      <c r="ED62" s="105"/>
      <c r="EE62" s="106">
        <v>1.0</v>
      </c>
      <c r="EF62" s="105"/>
      <c r="EG62" s="105"/>
      <c r="EH62" s="105"/>
      <c r="EI62" s="106"/>
      <c r="EJ62" s="106">
        <v>1.0</v>
      </c>
      <c r="EK62" s="105"/>
      <c r="EL62" s="106"/>
      <c r="EM62" s="105"/>
      <c r="EN62" s="105"/>
      <c r="EO62" s="106">
        <v>1.0</v>
      </c>
      <c r="EP62" s="106"/>
      <c r="EQ62" s="105"/>
      <c r="ER62" s="105"/>
      <c r="ES62" s="106"/>
      <c r="ET62" s="105"/>
      <c r="EU62" s="105"/>
      <c r="EV62" s="105"/>
      <c r="EW62" s="106"/>
      <c r="EX62" s="105"/>
      <c r="EY62" s="105"/>
      <c r="EZ62" s="105"/>
      <c r="FA62" s="106"/>
      <c r="FB62" s="105"/>
      <c r="FC62" s="105"/>
      <c r="FD62" s="105"/>
      <c r="FE62" s="107">
        <f t="shared" ref="FE62:FE67" si="20">sum(DZ62:FD62)*DX62</f>
        <v>800</v>
      </c>
      <c r="FF62" s="74"/>
      <c r="FG62" s="75"/>
      <c r="FH62" s="108"/>
      <c r="FI62" s="98" t="s">
        <v>36</v>
      </c>
      <c r="FJ62" s="5"/>
      <c r="FK62" s="5"/>
      <c r="FL62" s="99" t="s">
        <v>37</v>
      </c>
      <c r="FM62" s="101"/>
      <c r="FN62" s="59"/>
      <c r="FO62" s="60"/>
      <c r="FP62" s="101"/>
      <c r="FQ62" s="59"/>
      <c r="FR62" s="60"/>
      <c r="FS62" s="101"/>
      <c r="FT62" s="59"/>
      <c r="FU62" s="60"/>
      <c r="FV62" s="101"/>
      <c r="FW62" s="59"/>
      <c r="FX62" s="60"/>
      <c r="FY62" s="101">
        <v>10.0</v>
      </c>
      <c r="FZ62" s="59"/>
      <c r="GA62" s="60"/>
      <c r="GB62" s="101">
        <v>10.0</v>
      </c>
      <c r="GC62" s="59"/>
      <c r="GD62" s="60"/>
      <c r="GE62" s="101">
        <v>10.0</v>
      </c>
      <c r="GF62" s="59"/>
      <c r="GG62" s="60"/>
      <c r="GH62" s="101">
        <v>10.0</v>
      </c>
      <c r="GI62" s="59"/>
      <c r="GJ62" s="60"/>
      <c r="GK62" s="101">
        <v>10.0</v>
      </c>
      <c r="GL62" s="59"/>
      <c r="GM62" s="60"/>
      <c r="GN62" s="101">
        <v>10.0</v>
      </c>
      <c r="GO62" s="59"/>
      <c r="GP62" s="60"/>
      <c r="GQ62" s="101">
        <v>10.0</v>
      </c>
      <c r="GR62" s="59"/>
      <c r="GS62" s="60"/>
      <c r="GT62" s="101">
        <v>10.0</v>
      </c>
      <c r="GU62" s="59"/>
      <c r="GV62" s="60"/>
      <c r="GW62" s="101">
        <v>10.0</v>
      </c>
      <c r="GX62" s="59"/>
      <c r="GY62" s="60"/>
      <c r="GZ62" s="101">
        <v>10.0</v>
      </c>
      <c r="HA62" s="59"/>
      <c r="HB62" s="60"/>
      <c r="HC62" s="101">
        <v>10.0</v>
      </c>
      <c r="HD62" s="59"/>
      <c r="HE62" s="60"/>
      <c r="HF62" s="356"/>
    </row>
    <row r="63" ht="15.0" customHeight="1">
      <c r="C63" s="110" t="s">
        <v>42</v>
      </c>
      <c r="D63" s="74"/>
      <c r="E63" s="74"/>
      <c r="F63" s="74"/>
      <c r="G63" s="74"/>
      <c r="H63" s="74"/>
      <c r="I63" s="74"/>
      <c r="J63" s="74"/>
      <c r="K63" s="74"/>
      <c r="L63" s="75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358"/>
      <c r="Y63" s="358"/>
      <c r="Z63" s="112"/>
      <c r="AA63" s="112"/>
      <c r="AB63" s="358"/>
      <c r="AC63" s="358"/>
      <c r="AD63" s="358"/>
      <c r="AE63" s="112"/>
      <c r="AF63" s="112"/>
      <c r="AG63" s="358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31"/>
      <c r="AS63" s="77" t="s">
        <v>43</v>
      </c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5"/>
      <c r="BF63" s="78">
        <f t="shared" si="16"/>
        <v>0</v>
      </c>
      <c r="BG63" s="74"/>
      <c r="BH63" s="75"/>
      <c r="BI63" s="386">
        <v>5.0</v>
      </c>
      <c r="BJ63" s="74"/>
      <c r="BK63" s="75"/>
      <c r="BL63" s="78">
        <f t="shared" si="17"/>
        <v>0</v>
      </c>
      <c r="BM63" s="74"/>
      <c r="BN63" s="75"/>
      <c r="BO63" s="80">
        <f t="shared" si="18"/>
        <v>0</v>
      </c>
      <c r="BP63" s="74"/>
      <c r="BQ63" s="75"/>
      <c r="BR63" s="81">
        <f t="shared" si="19"/>
        <v>0</v>
      </c>
      <c r="BS63" s="74"/>
      <c r="BT63" s="75"/>
      <c r="BU63" s="82">
        <f>(BI63-BF63)/'График'!AK16</f>
        <v>0.2173913043</v>
      </c>
      <c r="BV63" s="74"/>
      <c r="BW63" s="75"/>
      <c r="BX63" s="31"/>
      <c r="BY63" s="83" t="s">
        <v>44</v>
      </c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5"/>
      <c r="CM63" s="81" t="str">
        <f>BF62*100/BF60</f>
        <v>#DIV/0!</v>
      </c>
      <c r="CN63" s="75"/>
      <c r="CO63" s="81" t="str">
        <f>((BF62*100/BF60)+CM45)/2</f>
        <v>#DIV/0!</v>
      </c>
      <c r="CP63" s="75"/>
      <c r="CQ63" s="31"/>
      <c r="CR63" s="83" t="s">
        <v>50</v>
      </c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5"/>
      <c r="DH63" s="85">
        <f>FI29</f>
        <v>0</v>
      </c>
      <c r="DI63" s="74"/>
      <c r="DJ63" s="75"/>
      <c r="DK63" s="31"/>
      <c r="DL63" s="92" t="s">
        <v>46</v>
      </c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5"/>
      <c r="DX63" s="116">
        <v>200.0</v>
      </c>
      <c r="DY63" s="75"/>
      <c r="DZ63" s="119"/>
      <c r="EA63" s="118"/>
      <c r="EB63" s="119">
        <v>1.0</v>
      </c>
      <c r="EC63" s="118"/>
      <c r="ED63" s="118"/>
      <c r="EE63" s="118"/>
      <c r="EF63" s="118"/>
      <c r="EG63" s="119"/>
      <c r="EH63" s="118"/>
      <c r="EI63" s="118"/>
      <c r="EJ63" s="118"/>
      <c r="EK63" s="118"/>
      <c r="EL63" s="118"/>
      <c r="EM63" s="118"/>
      <c r="EN63" s="118"/>
      <c r="EO63" s="118"/>
      <c r="EP63" s="118"/>
      <c r="EQ63" s="118"/>
      <c r="ER63" s="118"/>
      <c r="ES63" s="118"/>
      <c r="ET63" s="118"/>
      <c r="EU63" s="118"/>
      <c r="EV63" s="118"/>
      <c r="EW63" s="118"/>
      <c r="EX63" s="118"/>
      <c r="EY63" s="118"/>
      <c r="EZ63" s="118"/>
      <c r="FA63" s="118"/>
      <c r="FB63" s="118"/>
      <c r="FC63" s="118"/>
      <c r="FD63" s="119"/>
      <c r="FE63" s="107">
        <f t="shared" si="20"/>
        <v>200</v>
      </c>
      <c r="FF63" s="74"/>
      <c r="FG63" s="75"/>
      <c r="FH63" s="108"/>
      <c r="FI63" s="113">
        <f>SUM(FM63:HD63)</f>
        <v>0</v>
      </c>
      <c r="FJ63" s="59"/>
      <c r="FK63" s="59"/>
      <c r="FL63" s="60"/>
      <c r="FM63" s="114">
        <f>(FM60*FM62)/100</f>
        <v>0</v>
      </c>
      <c r="FN63" s="74"/>
      <c r="FO63" s="75"/>
      <c r="FP63" s="115">
        <f>(FP60*FP62)/100</f>
        <v>0</v>
      </c>
      <c r="FQ63" s="74"/>
      <c r="FR63" s="75"/>
      <c r="FS63" s="115">
        <f>(FS60*FS62)/100</f>
        <v>0</v>
      </c>
      <c r="FT63" s="74"/>
      <c r="FU63" s="75"/>
      <c r="FV63" s="115">
        <f>(FV60*FV62)/100</f>
        <v>0</v>
      </c>
      <c r="FW63" s="74"/>
      <c r="FX63" s="75"/>
      <c r="FY63" s="115">
        <f>(FY60*FY62)/100</f>
        <v>0</v>
      </c>
      <c r="FZ63" s="74"/>
      <c r="GA63" s="75"/>
      <c r="GB63" s="115">
        <f>(GB60*GB62)/100</f>
        <v>0</v>
      </c>
      <c r="GC63" s="74"/>
      <c r="GD63" s="75"/>
      <c r="GE63" s="115">
        <f>(GE60*GE62)/100</f>
        <v>0</v>
      </c>
      <c r="GF63" s="74"/>
      <c r="GG63" s="75"/>
      <c r="GH63" s="115">
        <f>(GH60*GH62)/100</f>
        <v>0</v>
      </c>
      <c r="GI63" s="74"/>
      <c r="GJ63" s="75"/>
      <c r="GK63" s="115">
        <f>(GK60*GK62)/100</f>
        <v>0</v>
      </c>
      <c r="GL63" s="74"/>
      <c r="GM63" s="75"/>
      <c r="GN63" s="115">
        <f>(GN60*GN62)/100</f>
        <v>0</v>
      </c>
      <c r="GO63" s="74"/>
      <c r="GP63" s="75"/>
      <c r="GQ63" s="115">
        <f>(GQ60*GQ62)/100</f>
        <v>0</v>
      </c>
      <c r="GR63" s="74"/>
      <c r="GS63" s="75"/>
      <c r="GT63" s="115">
        <f>(GT60*GT62)/100</f>
        <v>0</v>
      </c>
      <c r="GU63" s="74"/>
      <c r="GV63" s="75"/>
      <c r="GW63" s="115">
        <f>(GW60*GW62)/100</f>
        <v>0</v>
      </c>
      <c r="GX63" s="74"/>
      <c r="GY63" s="75"/>
      <c r="GZ63" s="115">
        <f>(GZ60*GZ62)/100</f>
        <v>0</v>
      </c>
      <c r="HA63" s="74"/>
      <c r="HB63" s="75"/>
      <c r="HC63" s="115">
        <f>(HC60*HC62)/100</f>
        <v>0</v>
      </c>
      <c r="HD63" s="74"/>
      <c r="HE63" s="75"/>
      <c r="HF63" s="356"/>
    </row>
    <row r="64" ht="15.0" customHeight="1">
      <c r="C64" s="83" t="s">
        <v>32</v>
      </c>
      <c r="D64" s="74"/>
      <c r="E64" s="74"/>
      <c r="F64" s="74"/>
      <c r="G64" s="74"/>
      <c r="H64" s="74"/>
      <c r="I64" s="74"/>
      <c r="J64" s="74"/>
      <c r="K64" s="74"/>
      <c r="L64" s="75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358"/>
      <c r="Y64" s="358"/>
      <c r="Z64" s="112"/>
      <c r="AA64" s="112"/>
      <c r="AB64" s="358"/>
      <c r="AC64" s="358"/>
      <c r="AD64" s="358"/>
      <c r="AE64" s="112"/>
      <c r="AF64" s="112"/>
      <c r="AG64" s="358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31"/>
      <c r="AS64" s="91" t="s">
        <v>48</v>
      </c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5"/>
      <c r="BF64" s="78">
        <f t="shared" si="16"/>
        <v>0</v>
      </c>
      <c r="BG64" s="74"/>
      <c r="BH64" s="75"/>
      <c r="BI64" s="386">
        <v>0.0</v>
      </c>
      <c r="BJ64" s="74"/>
      <c r="BK64" s="75"/>
      <c r="BL64" s="78">
        <v>0.0</v>
      </c>
      <c r="BM64" s="74"/>
      <c r="BN64" s="75"/>
      <c r="BO64" s="80">
        <v>0.0</v>
      </c>
      <c r="BP64" s="74"/>
      <c r="BQ64" s="75"/>
      <c r="BR64" s="81">
        <v>0.0</v>
      </c>
      <c r="BS64" s="74"/>
      <c r="BT64" s="75"/>
      <c r="BU64" s="82">
        <f>(BI64-BF64)/'График'!AK16</f>
        <v>0</v>
      </c>
      <c r="BV64" s="74"/>
      <c r="BW64" s="75"/>
      <c r="BX64" s="31"/>
      <c r="BY64" s="92" t="s">
        <v>49</v>
      </c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5"/>
      <c r="CM64" s="81" t="str">
        <f>BF63*100/BF60</f>
        <v>#DIV/0!</v>
      </c>
      <c r="CN64" s="75"/>
      <c r="CO64" s="81" t="str">
        <f>((BF63*100/BF60)+CM46)/2</f>
        <v>#DIV/0!</v>
      </c>
      <c r="CP64" s="75"/>
      <c r="CQ64" s="31"/>
      <c r="CR64" s="83" t="s">
        <v>54</v>
      </c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5"/>
      <c r="DH64" s="85">
        <f>if(DH61&gt;84,BF65*15%+DH60,if(DH61&lt;85,BF65*5%+DH60))</f>
        <v>0</v>
      </c>
      <c r="DI64" s="74"/>
      <c r="DJ64" s="75"/>
      <c r="DK64" s="31"/>
      <c r="DL64" s="92" t="s">
        <v>51</v>
      </c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5"/>
      <c r="DX64" s="116">
        <v>500.0</v>
      </c>
      <c r="DY64" s="75"/>
      <c r="DZ64" s="119">
        <v>1.0</v>
      </c>
      <c r="EA64" s="118"/>
      <c r="EB64" s="118"/>
      <c r="EC64" s="118"/>
      <c r="ED64" s="118"/>
      <c r="EE64" s="118"/>
      <c r="EF64" s="118"/>
      <c r="EG64" s="119"/>
      <c r="EH64" s="118"/>
      <c r="EI64" s="118"/>
      <c r="EJ64" s="118"/>
      <c r="EK64" s="118"/>
      <c r="EL64" s="118"/>
      <c r="EM64" s="118"/>
      <c r="EN64" s="118"/>
      <c r="EO64" s="118"/>
      <c r="EP64" s="118"/>
      <c r="EQ64" s="118"/>
      <c r="ER64" s="118"/>
      <c r="ES64" s="118"/>
      <c r="ET64" s="118"/>
      <c r="EU64" s="118"/>
      <c r="EV64" s="118"/>
      <c r="EW64" s="118"/>
      <c r="EX64" s="118"/>
      <c r="EY64" s="118"/>
      <c r="EZ64" s="118"/>
      <c r="FA64" s="118"/>
      <c r="FB64" s="118"/>
      <c r="FC64" s="118"/>
      <c r="FD64" s="118"/>
      <c r="FE64" s="107">
        <f t="shared" si="20"/>
        <v>500</v>
      </c>
      <c r="FF64" s="74"/>
      <c r="FG64" s="75"/>
      <c r="FH64" s="108"/>
      <c r="FI64" s="98" t="s">
        <v>47</v>
      </c>
      <c r="FJ64" s="5"/>
      <c r="FK64" s="5"/>
      <c r="FL64" s="99" t="s">
        <v>37</v>
      </c>
      <c r="FM64" s="122"/>
      <c r="FN64" s="74"/>
      <c r="FO64" s="75"/>
      <c r="FP64" s="122"/>
      <c r="FQ64" s="74"/>
      <c r="FR64" s="75"/>
      <c r="FS64" s="122"/>
      <c r="FT64" s="74"/>
      <c r="FU64" s="75"/>
      <c r="FV64" s="122"/>
      <c r="FW64" s="74"/>
      <c r="FX64" s="75"/>
      <c r="FY64" s="122">
        <v>5.0</v>
      </c>
      <c r="FZ64" s="74"/>
      <c r="GA64" s="75"/>
      <c r="GB64" s="122">
        <v>5.0</v>
      </c>
      <c r="GC64" s="74"/>
      <c r="GD64" s="75"/>
      <c r="GE64" s="122">
        <v>5.0</v>
      </c>
      <c r="GF64" s="74"/>
      <c r="GG64" s="75"/>
      <c r="GH64" s="122">
        <v>5.0</v>
      </c>
      <c r="GI64" s="74"/>
      <c r="GJ64" s="75"/>
      <c r="GK64" s="122">
        <v>5.0</v>
      </c>
      <c r="GL64" s="74"/>
      <c r="GM64" s="75"/>
      <c r="GN64" s="122">
        <v>5.0</v>
      </c>
      <c r="GO64" s="74"/>
      <c r="GP64" s="75"/>
      <c r="GQ64" s="122">
        <v>5.0</v>
      </c>
      <c r="GR64" s="74"/>
      <c r="GS64" s="75"/>
      <c r="GT64" s="122">
        <v>5.0</v>
      </c>
      <c r="GU64" s="74"/>
      <c r="GV64" s="75"/>
      <c r="GW64" s="122">
        <v>5.0</v>
      </c>
      <c r="GX64" s="74"/>
      <c r="GY64" s="75"/>
      <c r="GZ64" s="122">
        <v>5.0</v>
      </c>
      <c r="HA64" s="74"/>
      <c r="HB64" s="75"/>
      <c r="HC64" s="122">
        <v>5.0</v>
      </c>
      <c r="HD64" s="74"/>
      <c r="HE64" s="75"/>
      <c r="HF64" s="359"/>
    </row>
    <row r="65" ht="15.0" customHeight="1">
      <c r="C65" s="83" t="s">
        <v>38</v>
      </c>
      <c r="D65" s="74"/>
      <c r="E65" s="74"/>
      <c r="F65" s="74"/>
      <c r="G65" s="74"/>
      <c r="H65" s="74"/>
      <c r="I65" s="74"/>
      <c r="J65" s="74"/>
      <c r="K65" s="74"/>
      <c r="L65" s="75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358"/>
      <c r="Y65" s="358"/>
      <c r="Z65" s="112"/>
      <c r="AA65" s="112"/>
      <c r="AB65" s="358"/>
      <c r="AC65" s="358"/>
      <c r="AD65" s="358"/>
      <c r="AE65" s="112"/>
      <c r="AF65" s="112"/>
      <c r="AG65" s="358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31"/>
      <c r="AS65" s="77" t="s">
        <v>52</v>
      </c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5"/>
      <c r="BF65" s="80">
        <f>SUM(N68:AQ68)</f>
        <v>0</v>
      </c>
      <c r="BG65" s="74"/>
      <c r="BH65" s="75"/>
      <c r="BI65" s="396">
        <v>200000.0</v>
      </c>
      <c r="BJ65" s="74"/>
      <c r="BK65" s="75"/>
      <c r="BL65" s="126">
        <f>IF(BF65&lt;BI65,BF65,IF(BF65&gt;=BI65,BI65))</f>
        <v>0</v>
      </c>
      <c r="BM65" s="74"/>
      <c r="BN65" s="75"/>
      <c r="BO65" s="80">
        <f>5000*BR65/100</f>
        <v>0</v>
      </c>
      <c r="BP65" s="74"/>
      <c r="BQ65" s="75"/>
      <c r="BR65" s="81">
        <f>BL65*100/BI65</f>
        <v>0</v>
      </c>
      <c r="BS65" s="74"/>
      <c r="BT65" s="75"/>
      <c r="BU65" s="80">
        <f>(BI65-BF65)/'График'!AK16</f>
        <v>8695.652174</v>
      </c>
      <c r="BV65" s="74"/>
      <c r="BW65" s="75"/>
      <c r="BX65" s="31"/>
      <c r="BY65" s="83" t="s">
        <v>53</v>
      </c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5"/>
      <c r="CM65" s="81" t="str">
        <f>BF62*100/BF61</f>
        <v>#DIV/0!</v>
      </c>
      <c r="CN65" s="75"/>
      <c r="CO65" s="81" t="str">
        <f>((BF62*100/BF61)+CM47)/2</f>
        <v>#DIV/0!</v>
      </c>
      <c r="CP65" s="75"/>
      <c r="CQ65" s="31"/>
      <c r="CR65" s="83" t="s">
        <v>59</v>
      </c>
      <c r="CS65" s="74"/>
      <c r="CT65" s="74"/>
      <c r="CU65" s="74"/>
      <c r="CV65" s="74"/>
      <c r="CW65" s="74"/>
      <c r="CX65" s="74"/>
      <c r="CY65" s="74"/>
      <c r="CZ65" s="74"/>
      <c r="DA65" s="74"/>
      <c r="DB65" s="74"/>
      <c r="DC65" s="74"/>
      <c r="DD65" s="74"/>
      <c r="DE65" s="74"/>
      <c r="DF65" s="74"/>
      <c r="DG65" s="75"/>
      <c r="DH65" s="85">
        <f>if(BF66&gt;=BI66,DH64+BO66,if(BF66&lt;BI66,DH64))-FE68</f>
        <v>-2500</v>
      </c>
      <c r="DI65" s="74"/>
      <c r="DJ65" s="75"/>
      <c r="DK65" s="31"/>
      <c r="DL65" s="92" t="s">
        <v>55</v>
      </c>
      <c r="DM65" s="74"/>
      <c r="DN65" s="74"/>
      <c r="DO65" s="74"/>
      <c r="DP65" s="74"/>
      <c r="DQ65" s="74"/>
      <c r="DR65" s="74"/>
      <c r="DS65" s="74"/>
      <c r="DT65" s="74"/>
      <c r="DU65" s="74"/>
      <c r="DV65" s="74"/>
      <c r="DW65" s="75"/>
      <c r="DX65" s="116">
        <v>800.0</v>
      </c>
      <c r="DY65" s="75"/>
      <c r="DZ65" s="119"/>
      <c r="EA65" s="119"/>
      <c r="EB65" s="118"/>
      <c r="EC65" s="119"/>
      <c r="ED65" s="119"/>
      <c r="EE65" s="119"/>
      <c r="EF65" s="119"/>
      <c r="EG65" s="119"/>
      <c r="EH65" s="119"/>
      <c r="EI65" s="118"/>
      <c r="EJ65" s="118"/>
      <c r="EK65" s="119"/>
      <c r="EL65" s="118"/>
      <c r="EM65" s="118"/>
      <c r="EN65" s="118"/>
      <c r="EO65" s="118"/>
      <c r="EP65" s="118"/>
      <c r="EQ65" s="118"/>
      <c r="ER65" s="118"/>
      <c r="ES65" s="118"/>
      <c r="ET65" s="118"/>
      <c r="EU65" s="118"/>
      <c r="EV65" s="118"/>
      <c r="EW65" s="118"/>
      <c r="EX65" s="118"/>
      <c r="EY65" s="118"/>
      <c r="EZ65" s="118"/>
      <c r="FA65" s="118"/>
      <c r="FB65" s="118"/>
      <c r="FC65" s="118"/>
      <c r="FD65" s="118"/>
      <c r="FE65" s="107">
        <f t="shared" si="20"/>
        <v>0</v>
      </c>
      <c r="FF65" s="74"/>
      <c r="FG65" s="75"/>
      <c r="FH65" s="108"/>
      <c r="FI65" s="113">
        <f>SUM(FM65:HD65)</f>
        <v>0</v>
      </c>
      <c r="FJ65" s="59"/>
      <c r="FK65" s="59"/>
      <c r="FL65" s="60"/>
      <c r="FM65" s="123">
        <f>(FM60*FM64)/100</f>
        <v>0</v>
      </c>
      <c r="FN65" s="74"/>
      <c r="FO65" s="75"/>
      <c r="FP65" s="124">
        <f>(FP60*FP64)/100</f>
        <v>0</v>
      </c>
      <c r="FQ65" s="74"/>
      <c r="FR65" s="75"/>
      <c r="FS65" s="124">
        <f>(FS60*FS64)/100</f>
        <v>0</v>
      </c>
      <c r="FT65" s="74"/>
      <c r="FU65" s="75"/>
      <c r="FV65" s="124">
        <f>(FV60*FV64)/100</f>
        <v>0</v>
      </c>
      <c r="FW65" s="74"/>
      <c r="FX65" s="75"/>
      <c r="FY65" s="124">
        <f>(FY60*FY64)/100</f>
        <v>0</v>
      </c>
      <c r="FZ65" s="74"/>
      <c r="GA65" s="75"/>
      <c r="GB65" s="124">
        <f>(GB60*GB64)/100</f>
        <v>0</v>
      </c>
      <c r="GC65" s="74"/>
      <c r="GD65" s="75"/>
      <c r="GE65" s="124">
        <f>(GE60*GE64)/100</f>
        <v>0</v>
      </c>
      <c r="GF65" s="74"/>
      <c r="GG65" s="75"/>
      <c r="GH65" s="124">
        <f>(GH60*GH64)/100</f>
        <v>0</v>
      </c>
      <c r="GI65" s="74"/>
      <c r="GJ65" s="75"/>
      <c r="GK65" s="124">
        <f>(GK60*GK64)/100</f>
        <v>0</v>
      </c>
      <c r="GL65" s="74"/>
      <c r="GM65" s="75"/>
      <c r="GN65" s="124">
        <f>(GN60*GN64)/100</f>
        <v>0</v>
      </c>
      <c r="GO65" s="74"/>
      <c r="GP65" s="75"/>
      <c r="GQ65" s="124">
        <f>(GQ60*GQ64)/100</f>
        <v>0</v>
      </c>
      <c r="GR65" s="74"/>
      <c r="GS65" s="75"/>
      <c r="GT65" s="124">
        <f>(GT60*GT64)/100</f>
        <v>0</v>
      </c>
      <c r="GU65" s="74"/>
      <c r="GV65" s="75"/>
      <c r="GW65" s="124">
        <f>(GW60*GW64)/100</f>
        <v>0</v>
      </c>
      <c r="GX65" s="74"/>
      <c r="GY65" s="75"/>
      <c r="GZ65" s="124">
        <f>(GZ60*GZ64)/100</f>
        <v>0</v>
      </c>
      <c r="HA65" s="74"/>
      <c r="HB65" s="75"/>
      <c r="HC65" s="124">
        <f>(HC60*HC64)/100</f>
        <v>0</v>
      </c>
      <c r="HD65" s="74"/>
      <c r="HE65" s="75"/>
      <c r="HF65" s="359"/>
    </row>
    <row r="66" ht="15.0" customHeight="1">
      <c r="C66" s="92" t="s">
        <v>43</v>
      </c>
      <c r="D66" s="74"/>
      <c r="E66" s="74"/>
      <c r="F66" s="74"/>
      <c r="G66" s="74"/>
      <c r="H66" s="74"/>
      <c r="I66" s="74"/>
      <c r="J66" s="74"/>
      <c r="K66" s="74"/>
      <c r="L66" s="75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358"/>
      <c r="Y66" s="358"/>
      <c r="Z66" s="112"/>
      <c r="AA66" s="112"/>
      <c r="AB66" s="358"/>
      <c r="AC66" s="358"/>
      <c r="AD66" s="358"/>
      <c r="AE66" s="112"/>
      <c r="AF66" s="112"/>
      <c r="AG66" s="358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31"/>
      <c r="AS66" s="77" t="s">
        <v>57</v>
      </c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5"/>
      <c r="BF66" s="80">
        <f>sum(BF65+'Александр'!BI64)</f>
        <v>0</v>
      </c>
      <c r="BG66" s="74"/>
      <c r="BH66" s="75"/>
      <c r="BI66" s="128">
        <v>300000.0</v>
      </c>
      <c r="BJ66" s="74"/>
      <c r="BK66" s="75"/>
      <c r="BL66" s="130"/>
      <c r="BM66" s="74"/>
      <c r="BN66" s="75"/>
      <c r="BO66" s="80">
        <v>10000.0</v>
      </c>
      <c r="BP66" s="74"/>
      <c r="BQ66" s="75"/>
      <c r="BR66" s="131">
        <f>BF66*100/BI66</f>
        <v>0</v>
      </c>
      <c r="BS66" s="74"/>
      <c r="BT66" s="75"/>
      <c r="BU66" s="80">
        <f>(BI66-BF66)/'График'!AK16</f>
        <v>13043.47826</v>
      </c>
      <c r="BV66" s="74"/>
      <c r="BW66" s="75"/>
      <c r="BX66" s="31"/>
      <c r="BY66" s="83" t="s">
        <v>58</v>
      </c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5"/>
      <c r="CM66" s="81" t="str">
        <f>BF63*100/BF61</f>
        <v>#DIV/0!</v>
      </c>
      <c r="CN66" s="75"/>
      <c r="CO66" s="81" t="str">
        <f>((BF63*100/BF61)+CM48)/2</f>
        <v>#DIV/0!</v>
      </c>
      <c r="CP66" s="75"/>
      <c r="CQ66" s="31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9" t="s">
        <v>24</v>
      </c>
      <c r="DG66" s="75"/>
      <c r="DH66" s="140">
        <f>sum(DH65+DH62+DH63)</f>
        <v>-2500</v>
      </c>
      <c r="DI66" s="74"/>
      <c r="DJ66" s="75"/>
      <c r="DK66" s="31"/>
      <c r="DL66" s="92" t="s">
        <v>60</v>
      </c>
      <c r="DM66" s="74"/>
      <c r="DN66" s="74"/>
      <c r="DO66" s="74"/>
      <c r="DP66" s="74"/>
      <c r="DQ66" s="74"/>
      <c r="DR66" s="74"/>
      <c r="DS66" s="74"/>
      <c r="DT66" s="74"/>
      <c r="DU66" s="74"/>
      <c r="DV66" s="74"/>
      <c r="DW66" s="75"/>
      <c r="DX66" s="116">
        <v>1500.0</v>
      </c>
      <c r="DY66" s="75"/>
      <c r="DZ66" s="118"/>
      <c r="EA66" s="118"/>
      <c r="EB66" s="118"/>
      <c r="EC66" s="118"/>
      <c r="ED66" s="118"/>
      <c r="EE66" s="118"/>
      <c r="EF66" s="118"/>
      <c r="EG66" s="119"/>
      <c r="EH66" s="119"/>
      <c r="EI66" s="118"/>
      <c r="EJ66" s="119"/>
      <c r="EK66" s="119"/>
      <c r="EL66" s="119"/>
      <c r="EM66" s="118"/>
      <c r="EN66" s="118"/>
      <c r="EO66" s="118"/>
      <c r="EP66" s="118"/>
      <c r="EQ66" s="118"/>
      <c r="ER66" s="118"/>
      <c r="ES66" s="118"/>
      <c r="ET66" s="118"/>
      <c r="EU66" s="118"/>
      <c r="EV66" s="118"/>
      <c r="EW66" s="118"/>
      <c r="EX66" s="118"/>
      <c r="EY66" s="119"/>
      <c r="EZ66" s="118"/>
      <c r="FA66" s="118"/>
      <c r="FB66" s="118"/>
      <c r="FC66" s="118"/>
      <c r="FD66" s="118"/>
      <c r="FE66" s="107">
        <f t="shared" si="20"/>
        <v>0</v>
      </c>
      <c r="FF66" s="74"/>
      <c r="FG66" s="75"/>
      <c r="FH66" s="108"/>
      <c r="FI66" s="127" t="s">
        <v>56</v>
      </c>
      <c r="HF66" s="359"/>
    </row>
    <row r="67" ht="15.0" customHeight="1">
      <c r="C67" s="83" t="s">
        <v>48</v>
      </c>
      <c r="D67" s="74"/>
      <c r="E67" s="74"/>
      <c r="F67" s="74"/>
      <c r="G67" s="74"/>
      <c r="H67" s="74"/>
      <c r="I67" s="74"/>
      <c r="J67" s="74"/>
      <c r="K67" s="74"/>
      <c r="L67" s="75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358"/>
      <c r="Y67" s="358"/>
      <c r="Z67" s="112"/>
      <c r="AA67" s="112"/>
      <c r="AB67" s="358"/>
      <c r="AC67" s="358"/>
      <c r="AD67" s="358"/>
      <c r="AE67" s="112"/>
      <c r="AF67" s="112"/>
      <c r="AG67" s="358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31"/>
      <c r="AS67" s="77" t="s">
        <v>70</v>
      </c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5"/>
      <c r="BF67" s="80">
        <f>BI65-BF65</f>
        <v>200000</v>
      </c>
      <c r="BG67" s="74"/>
      <c r="BH67" s="75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7"/>
      <c r="BW67" s="137"/>
      <c r="BX67" s="31"/>
      <c r="BY67" s="83" t="s">
        <v>71</v>
      </c>
      <c r="BZ67" s="74"/>
      <c r="CA67" s="74"/>
      <c r="CB67" s="74"/>
      <c r="CC67" s="74"/>
      <c r="CD67" s="74"/>
      <c r="CE67" s="74"/>
      <c r="CF67" s="74"/>
      <c r="CG67" s="74"/>
      <c r="CH67" s="74"/>
      <c r="CI67" s="74"/>
      <c r="CJ67" s="74"/>
      <c r="CK67" s="74"/>
      <c r="CL67" s="75"/>
      <c r="CM67" s="81" t="str">
        <f>BF63*100/BF62</f>
        <v>#DIV/0!</v>
      </c>
      <c r="CN67" s="75"/>
      <c r="CO67" s="81" t="str">
        <f>((BF63*100/BF62)+CM49)/2</f>
        <v>#DIV/0!</v>
      </c>
      <c r="CP67" s="75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83" t="s">
        <v>72</v>
      </c>
      <c r="DM67" s="74"/>
      <c r="DN67" s="74"/>
      <c r="DO67" s="74"/>
      <c r="DP67" s="74"/>
      <c r="DQ67" s="74"/>
      <c r="DR67" s="74"/>
      <c r="DS67" s="74"/>
      <c r="DT67" s="74"/>
      <c r="DU67" s="74"/>
      <c r="DV67" s="74"/>
      <c r="DW67" s="75"/>
      <c r="DX67" s="116">
        <v>1000.0</v>
      </c>
      <c r="DY67" s="74"/>
      <c r="DZ67" s="141"/>
      <c r="EA67" s="142"/>
      <c r="EB67" s="141"/>
      <c r="EC67" s="141"/>
      <c r="ED67" s="141"/>
      <c r="EE67" s="141"/>
      <c r="EF67" s="142"/>
      <c r="EG67" s="141"/>
      <c r="EH67" s="141"/>
      <c r="EI67" s="141"/>
      <c r="EJ67" s="142"/>
      <c r="EK67" s="141"/>
      <c r="EL67" s="142">
        <v>1.0</v>
      </c>
      <c r="EM67" s="141"/>
      <c r="EN67" s="141"/>
      <c r="EO67" s="141"/>
      <c r="EP67" s="141"/>
      <c r="EQ67" s="141"/>
      <c r="ER67" s="141"/>
      <c r="ES67" s="141"/>
      <c r="ET67" s="141"/>
      <c r="EU67" s="141"/>
      <c r="EV67" s="141"/>
      <c r="EW67" s="141"/>
      <c r="EX67" s="141"/>
      <c r="EY67" s="141"/>
      <c r="EZ67" s="141"/>
      <c r="FA67" s="141"/>
      <c r="FB67" s="141"/>
      <c r="FC67" s="141"/>
      <c r="FD67" s="141"/>
      <c r="FE67" s="107">
        <f t="shared" si="20"/>
        <v>1000</v>
      </c>
      <c r="FF67" s="74"/>
      <c r="FG67" s="75"/>
      <c r="FH67" s="108"/>
      <c r="FI67" s="132" t="s">
        <v>9</v>
      </c>
      <c r="FJ67" s="27"/>
      <c r="FK67" s="27"/>
      <c r="FL67" s="28"/>
      <c r="FM67" s="133" t="s">
        <v>157</v>
      </c>
      <c r="FN67" s="134"/>
      <c r="FO67" s="135"/>
      <c r="FP67" s="133" t="s">
        <v>69</v>
      </c>
      <c r="FQ67" s="134"/>
      <c r="FR67" s="135"/>
      <c r="FS67" s="133" t="s">
        <v>69</v>
      </c>
      <c r="FT67" s="134"/>
      <c r="FU67" s="135"/>
      <c r="FV67" s="133" t="s">
        <v>69</v>
      </c>
      <c r="FW67" s="134"/>
      <c r="FX67" s="135"/>
      <c r="FY67" s="133" t="s">
        <v>69</v>
      </c>
      <c r="FZ67" s="134"/>
      <c r="GA67" s="135"/>
      <c r="GB67" s="133" t="s">
        <v>69</v>
      </c>
      <c r="GC67" s="134"/>
      <c r="GD67" s="135"/>
      <c r="GE67" s="133" t="s">
        <v>69</v>
      </c>
      <c r="GF67" s="134"/>
      <c r="GG67" s="135"/>
      <c r="GH67" s="133" t="s">
        <v>69</v>
      </c>
      <c r="GI67" s="134"/>
      <c r="GJ67" s="135"/>
      <c r="GK67" s="133" t="s">
        <v>69</v>
      </c>
      <c r="GL67" s="134"/>
      <c r="GM67" s="135"/>
      <c r="GN67" s="133" t="s">
        <v>69</v>
      </c>
      <c r="GO67" s="134"/>
      <c r="GP67" s="135"/>
      <c r="GQ67" s="133" t="s">
        <v>69</v>
      </c>
      <c r="GR67" s="134"/>
      <c r="GS67" s="135"/>
      <c r="GT67" s="133" t="s">
        <v>69</v>
      </c>
      <c r="GU67" s="134"/>
      <c r="GV67" s="135"/>
      <c r="GW67" s="133" t="s">
        <v>69</v>
      </c>
      <c r="GX67" s="134"/>
      <c r="GY67" s="135"/>
      <c r="GZ67" s="133" t="s">
        <v>69</v>
      </c>
      <c r="HA67" s="134"/>
      <c r="HB67" s="135"/>
      <c r="HC67" s="133" t="s">
        <v>69</v>
      </c>
      <c r="HD67" s="134"/>
      <c r="HE67" s="135"/>
      <c r="HF67" s="359"/>
    </row>
    <row r="68" ht="15.0" customHeight="1">
      <c r="C68" s="143" t="s">
        <v>52</v>
      </c>
      <c r="D68" s="134"/>
      <c r="E68" s="134"/>
      <c r="F68" s="134"/>
      <c r="G68" s="134"/>
      <c r="H68" s="134"/>
      <c r="I68" s="134"/>
      <c r="J68" s="134"/>
      <c r="K68" s="134"/>
      <c r="L68" s="13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361"/>
      <c r="Y68" s="361"/>
      <c r="Z68" s="145"/>
      <c r="AA68" s="145"/>
      <c r="AB68" s="361"/>
      <c r="AC68" s="145"/>
      <c r="AD68" s="361"/>
      <c r="AE68" s="145"/>
      <c r="AF68" s="145"/>
      <c r="AG68" s="361"/>
      <c r="AH68" s="145"/>
      <c r="AI68" s="145"/>
      <c r="AJ68" s="145"/>
      <c r="AK68" s="145"/>
      <c r="AL68" s="145"/>
      <c r="AM68" s="145"/>
      <c r="AN68" s="145"/>
      <c r="AO68" s="145"/>
      <c r="AP68" s="145"/>
      <c r="AQ68" s="144"/>
      <c r="AR68" s="31"/>
      <c r="AS68" s="77" t="s">
        <v>73</v>
      </c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5"/>
      <c r="BF68" s="80" t="str">
        <f>BF65/BF63</f>
        <v>#DIV/0!</v>
      </c>
      <c r="BG68" s="74"/>
      <c r="BH68" s="75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146"/>
      <c r="CN68" s="146"/>
      <c r="CO68" s="362"/>
      <c r="CP68" s="362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148"/>
      <c r="DM68" s="148"/>
      <c r="DN68" s="148"/>
      <c r="DO68" s="148"/>
      <c r="DP68" s="148"/>
      <c r="DQ68" s="148"/>
      <c r="DR68" s="148"/>
      <c r="DS68" s="148"/>
      <c r="DT68" s="148"/>
      <c r="DU68" s="148"/>
      <c r="DV68" s="148"/>
      <c r="DW68" s="148"/>
      <c r="DX68" s="148"/>
      <c r="DY68" s="148"/>
      <c r="DZ68" s="149"/>
      <c r="EA68" s="149"/>
      <c r="EB68" s="149"/>
      <c r="EC68" s="149"/>
      <c r="ED68" s="149"/>
      <c r="EE68" s="149"/>
      <c r="EF68" s="149"/>
      <c r="EG68" s="149"/>
      <c r="EH68" s="149"/>
      <c r="EI68" s="149"/>
      <c r="EJ68" s="149"/>
      <c r="EK68" s="149"/>
      <c r="EL68" s="149"/>
      <c r="EM68" s="149"/>
      <c r="EN68" s="149"/>
      <c r="EO68" s="149"/>
      <c r="EP68" s="149"/>
      <c r="EQ68" s="149"/>
      <c r="ER68" s="149"/>
      <c r="ES68" s="149"/>
      <c r="ET68" s="149"/>
      <c r="EU68" s="149"/>
      <c r="EV68" s="149"/>
      <c r="EW68" s="149"/>
      <c r="EX68" s="136"/>
      <c r="EY68" s="136"/>
      <c r="EZ68" s="136"/>
      <c r="FA68" s="136"/>
      <c r="FB68" s="136"/>
      <c r="FC68" s="150" t="s">
        <v>24</v>
      </c>
      <c r="FD68" s="75"/>
      <c r="FE68" s="151">
        <f>sum(FE62:FE67)</f>
        <v>2500</v>
      </c>
      <c r="FF68" s="74"/>
      <c r="FG68" s="75"/>
      <c r="FH68" s="152"/>
      <c r="FI68" s="57"/>
      <c r="FJ68" s="39"/>
      <c r="FK68" s="39"/>
      <c r="FL68" s="40"/>
      <c r="FM68" s="58"/>
      <c r="FN68" s="59"/>
      <c r="FO68" s="60"/>
      <c r="FP68" s="58"/>
      <c r="FQ68" s="59"/>
      <c r="FR68" s="60"/>
      <c r="FS68" s="58"/>
      <c r="FT68" s="59"/>
      <c r="FU68" s="60"/>
      <c r="FV68" s="58"/>
      <c r="FW68" s="59"/>
      <c r="FX68" s="60"/>
      <c r="FY68" s="58"/>
      <c r="FZ68" s="59"/>
      <c r="GA68" s="60"/>
      <c r="GB68" s="58"/>
      <c r="GC68" s="59"/>
      <c r="GD68" s="60"/>
      <c r="GE68" s="58"/>
      <c r="GF68" s="59"/>
      <c r="GG68" s="60"/>
      <c r="GH68" s="58"/>
      <c r="GI68" s="59"/>
      <c r="GJ68" s="60"/>
      <c r="GK68" s="58"/>
      <c r="GL68" s="59"/>
      <c r="GM68" s="60"/>
      <c r="GN68" s="58"/>
      <c r="GO68" s="59"/>
      <c r="GP68" s="60"/>
      <c r="GQ68" s="58"/>
      <c r="GR68" s="59"/>
      <c r="GS68" s="60"/>
      <c r="GT68" s="58"/>
      <c r="GU68" s="59"/>
      <c r="GV68" s="60"/>
      <c r="GW68" s="58"/>
      <c r="GX68" s="59"/>
      <c r="GY68" s="60"/>
      <c r="GZ68" s="58"/>
      <c r="HA68" s="59"/>
      <c r="HB68" s="60"/>
      <c r="HC68" s="58"/>
      <c r="HD68" s="59"/>
      <c r="HE68" s="60"/>
      <c r="HF68" s="363"/>
    </row>
    <row r="69" ht="15.0" customHeight="1">
      <c r="C69" s="153"/>
      <c r="L69" s="35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31"/>
      <c r="AS69" s="77" t="s">
        <v>74</v>
      </c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5"/>
      <c r="BF69" s="78"/>
      <c r="BG69" s="74"/>
      <c r="BH69" s="75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146"/>
      <c r="CN69" s="146"/>
      <c r="CO69" s="362"/>
      <c r="CP69" s="362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148"/>
      <c r="EP69" s="148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157"/>
      <c r="FF69" s="158"/>
      <c r="FG69" s="31"/>
      <c r="FH69" s="31"/>
      <c r="FI69" s="72" t="s">
        <v>21</v>
      </c>
      <c r="FJ69" s="27"/>
      <c r="FK69" s="27"/>
      <c r="FL69" s="28"/>
      <c r="FM69" s="156">
        <v>3000.0</v>
      </c>
      <c r="FN69" s="74"/>
      <c r="FO69" s="75"/>
      <c r="FP69" s="156">
        <v>3000.0</v>
      </c>
      <c r="FQ69" s="74"/>
      <c r="FR69" s="75"/>
      <c r="FS69" s="156">
        <v>3000.0</v>
      </c>
      <c r="FT69" s="74"/>
      <c r="FU69" s="75"/>
      <c r="FV69" s="156">
        <v>14500.0</v>
      </c>
      <c r="FW69" s="74"/>
      <c r="FX69" s="75"/>
      <c r="FY69" s="156">
        <v>3000.0</v>
      </c>
      <c r="FZ69" s="74"/>
      <c r="GA69" s="75"/>
      <c r="GB69" s="156">
        <v>5000.0</v>
      </c>
      <c r="GC69" s="74"/>
      <c r="GD69" s="75"/>
      <c r="GE69" s="156">
        <v>3000.0</v>
      </c>
      <c r="GF69" s="74"/>
      <c r="GG69" s="75"/>
      <c r="GH69" s="156">
        <v>6400.0</v>
      </c>
      <c r="GI69" s="74"/>
      <c r="GJ69" s="75"/>
      <c r="GK69" s="156">
        <v>2400.0</v>
      </c>
      <c r="GL69" s="74"/>
      <c r="GM69" s="75"/>
      <c r="GN69" s="156"/>
      <c r="GO69" s="74"/>
      <c r="GP69" s="75"/>
      <c r="GQ69" s="156"/>
      <c r="GR69" s="74"/>
      <c r="GS69" s="75"/>
      <c r="GT69" s="156"/>
      <c r="GU69" s="74"/>
      <c r="GV69" s="75"/>
      <c r="GW69" s="156"/>
      <c r="GX69" s="74"/>
      <c r="GY69" s="75"/>
      <c r="GZ69" s="156"/>
      <c r="HA69" s="74"/>
      <c r="HB69" s="75"/>
      <c r="HC69" s="156"/>
      <c r="HD69" s="74"/>
      <c r="HE69" s="75"/>
      <c r="HF69" s="364"/>
    </row>
    <row r="70" ht="15.0" customHeight="1">
      <c r="C70" s="153"/>
      <c r="L70" s="35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31"/>
      <c r="AS70" s="77" t="s">
        <v>75</v>
      </c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5"/>
      <c r="BF70" s="80"/>
      <c r="BG70" s="74"/>
      <c r="BH70" s="75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146"/>
      <c r="CN70" s="146"/>
      <c r="CO70" s="362"/>
      <c r="CP70" s="362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148"/>
      <c r="EP70" s="148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157"/>
      <c r="FF70" s="158"/>
      <c r="FG70" s="31"/>
      <c r="FH70" s="31"/>
      <c r="FI70" s="159">
        <v>20.0</v>
      </c>
      <c r="FJ70" s="5"/>
      <c r="FK70" s="5"/>
      <c r="FL70" s="160" t="s">
        <v>37</v>
      </c>
      <c r="FM70" s="161">
        <f>FM69*FI70/100</f>
        <v>600</v>
      </c>
      <c r="FN70" s="74"/>
      <c r="FO70" s="75"/>
      <c r="FP70" s="161">
        <f>FP69*FI70/100</f>
        <v>600</v>
      </c>
      <c r="FQ70" s="74"/>
      <c r="FR70" s="75"/>
      <c r="FS70" s="161">
        <f>FS69*FI70/100</f>
        <v>600</v>
      </c>
      <c r="FT70" s="74"/>
      <c r="FU70" s="75"/>
      <c r="FV70" s="161">
        <f>FV69*FI70/100</f>
        <v>2900</v>
      </c>
      <c r="FW70" s="74"/>
      <c r="FX70" s="75"/>
      <c r="FY70" s="161">
        <f>FY69*FI70/100</f>
        <v>600</v>
      </c>
      <c r="FZ70" s="74"/>
      <c r="GA70" s="75"/>
      <c r="GB70" s="161">
        <f>GB69*FI70/100</f>
        <v>1000</v>
      </c>
      <c r="GC70" s="74"/>
      <c r="GD70" s="75"/>
      <c r="GE70" s="161">
        <f>GE69*FI70/100</f>
        <v>600</v>
      </c>
      <c r="GF70" s="74"/>
      <c r="GG70" s="75"/>
      <c r="GH70" s="161">
        <f>GH69*FI70/100</f>
        <v>1280</v>
      </c>
      <c r="GI70" s="74"/>
      <c r="GJ70" s="75"/>
      <c r="GK70" s="161">
        <f>GK69*FI70/100</f>
        <v>480</v>
      </c>
      <c r="GL70" s="74"/>
      <c r="GM70" s="75"/>
      <c r="GN70" s="388">
        <f>GN69*FF70/100</f>
        <v>0</v>
      </c>
      <c r="GO70" s="74"/>
      <c r="GP70" s="75"/>
      <c r="GQ70" s="161">
        <f>GQ69*FI70/100</f>
        <v>0</v>
      </c>
      <c r="GR70" s="74"/>
      <c r="GS70" s="75"/>
      <c r="GT70" s="161">
        <f>GT69*FI70/100</f>
        <v>0</v>
      </c>
      <c r="GU70" s="74"/>
      <c r="GV70" s="75"/>
      <c r="GW70" s="161">
        <f>GW69*FI70/100</f>
        <v>0</v>
      </c>
      <c r="GX70" s="74"/>
      <c r="GY70" s="75"/>
      <c r="GZ70" s="161">
        <f>GZ69*FI70/100</f>
        <v>0</v>
      </c>
      <c r="HA70" s="74"/>
      <c r="HB70" s="75"/>
      <c r="HC70" s="161">
        <f>HC69*FI70/100</f>
        <v>0</v>
      </c>
      <c r="HD70" s="74"/>
      <c r="HE70" s="75"/>
      <c r="HF70" s="365"/>
    </row>
    <row r="71" ht="15.0" customHeight="1">
      <c r="C71" s="58"/>
      <c r="D71" s="59"/>
      <c r="E71" s="59"/>
      <c r="F71" s="59"/>
      <c r="G71" s="59"/>
      <c r="H71" s="59"/>
      <c r="I71" s="59"/>
      <c r="J71" s="59"/>
      <c r="K71" s="59"/>
      <c r="L71" s="60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31"/>
      <c r="AS71" s="77" t="s">
        <v>76</v>
      </c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5"/>
      <c r="BF71" s="82" t="str">
        <f>(BF63/BF64)</f>
        <v>#DIV/0!</v>
      </c>
      <c r="BG71" s="74"/>
      <c r="BH71" s="75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146"/>
      <c r="CN71" s="146"/>
      <c r="CO71" s="362"/>
      <c r="CP71" s="362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148"/>
      <c r="EP71" s="148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157"/>
      <c r="FF71" s="158"/>
      <c r="FG71" s="31"/>
      <c r="FH71" s="31"/>
      <c r="FI71" s="148"/>
      <c r="FJ71" s="148"/>
      <c r="FK71" s="148"/>
      <c r="FL71" s="148"/>
      <c r="FM71" s="148"/>
      <c r="FN71" s="148"/>
      <c r="FO71" s="148"/>
      <c r="FP71" s="148"/>
      <c r="FQ71" s="148"/>
      <c r="FR71" s="148"/>
      <c r="FS71" s="148"/>
      <c r="FT71" s="148"/>
      <c r="FU71" s="148"/>
      <c r="FV71" s="148"/>
      <c r="FW71" s="148"/>
      <c r="FX71" s="148"/>
      <c r="FY71" s="148"/>
      <c r="FZ71" s="148"/>
      <c r="GA71" s="148"/>
      <c r="GB71" s="148"/>
      <c r="GC71" s="148"/>
      <c r="GD71" s="148"/>
      <c r="GE71" s="148"/>
      <c r="GF71" s="148"/>
      <c r="GG71" s="148"/>
      <c r="GH71" s="148"/>
      <c r="GI71" s="148"/>
      <c r="GJ71" s="148"/>
      <c r="GK71" s="148"/>
      <c r="GL71" s="148"/>
      <c r="GM71" s="148"/>
      <c r="GN71" s="148"/>
      <c r="GO71" s="148"/>
      <c r="GP71" s="148"/>
      <c r="GQ71" s="148"/>
      <c r="GR71" s="148"/>
      <c r="GS71" s="148"/>
      <c r="GT71" s="148"/>
      <c r="GU71" s="148"/>
      <c r="GV71" s="148"/>
      <c r="GW71" s="148"/>
      <c r="GX71" s="148"/>
      <c r="GY71" s="148"/>
      <c r="GZ71" s="148"/>
      <c r="HA71" s="148"/>
      <c r="HB71" s="148"/>
      <c r="HC71" s="148"/>
      <c r="HD71" s="148"/>
      <c r="HE71" s="148"/>
      <c r="HF71" s="364"/>
    </row>
    <row r="72" ht="15.0" customHeight="1">
      <c r="A72" s="367"/>
      <c r="B72" s="367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146"/>
      <c r="CN72" s="146"/>
      <c r="CO72" s="362"/>
      <c r="CP72" s="362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148"/>
      <c r="EP72" s="148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157"/>
      <c r="FF72" s="158"/>
      <c r="FG72" s="31"/>
      <c r="FH72" s="31"/>
      <c r="FI72" s="170"/>
      <c r="FJ72" s="148"/>
      <c r="FK72" s="148"/>
      <c r="FL72" s="148"/>
      <c r="FM72" s="171"/>
      <c r="FN72" s="148"/>
      <c r="FO72" s="148"/>
      <c r="FP72" s="171"/>
      <c r="FQ72" s="148"/>
      <c r="FR72" s="148"/>
      <c r="FS72" s="171"/>
      <c r="FT72" s="148"/>
      <c r="FU72" s="148"/>
      <c r="FV72" s="171"/>
      <c r="FW72" s="148"/>
      <c r="FX72" s="148"/>
      <c r="FY72" s="171"/>
      <c r="FZ72" s="148"/>
      <c r="GA72" s="148"/>
      <c r="GB72" s="171"/>
      <c r="GC72" s="148"/>
      <c r="GD72" s="148"/>
      <c r="GE72" s="171"/>
      <c r="GF72" s="148"/>
      <c r="GG72" s="148"/>
      <c r="GH72" s="171"/>
      <c r="GI72" s="148"/>
      <c r="GJ72" s="148"/>
      <c r="GK72" s="171"/>
      <c r="GL72" s="148"/>
      <c r="GM72" s="148"/>
      <c r="GN72" s="171"/>
      <c r="GO72" s="148"/>
      <c r="GP72" s="148"/>
      <c r="GQ72" s="171"/>
      <c r="GR72" s="148"/>
      <c r="GS72" s="148"/>
      <c r="GT72" s="171"/>
      <c r="GU72" s="148"/>
      <c r="GV72" s="148"/>
      <c r="GW72" s="171"/>
      <c r="GX72" s="148"/>
      <c r="GY72" s="148"/>
      <c r="GZ72" s="171"/>
      <c r="HA72" s="148"/>
      <c r="HB72" s="148"/>
      <c r="HC72" s="171"/>
      <c r="HD72" s="148"/>
      <c r="HE72" s="148"/>
      <c r="HF72" s="148"/>
    </row>
    <row r="73" ht="15.0" customHeight="1">
      <c r="A73" s="369"/>
      <c r="B73" s="369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  <c r="AC73" s="370"/>
      <c r="AD73" s="370"/>
      <c r="AE73" s="370"/>
      <c r="AF73" s="370"/>
      <c r="AG73" s="370"/>
      <c r="AH73" s="370"/>
      <c r="AI73" s="370"/>
      <c r="AJ73" s="370"/>
      <c r="AK73" s="370"/>
      <c r="AL73" s="370"/>
      <c r="AM73" s="370"/>
      <c r="AN73" s="370"/>
      <c r="AO73" s="370"/>
      <c r="AP73" s="370"/>
      <c r="AQ73" s="370"/>
      <c r="AR73" s="370"/>
      <c r="AS73" s="370"/>
      <c r="AT73" s="370"/>
      <c r="AU73" s="370"/>
      <c r="AV73" s="370"/>
      <c r="AW73" s="370"/>
      <c r="AX73" s="370"/>
      <c r="AY73" s="370"/>
      <c r="AZ73" s="370"/>
      <c r="BA73" s="370"/>
      <c r="BB73" s="370"/>
      <c r="BC73" s="370"/>
      <c r="BD73" s="370"/>
      <c r="BE73" s="370"/>
      <c r="BF73" s="370"/>
      <c r="BG73" s="370"/>
      <c r="BH73" s="370"/>
      <c r="BI73" s="370"/>
      <c r="BJ73" s="370"/>
      <c r="BK73" s="370"/>
      <c r="BL73" s="370"/>
      <c r="BM73" s="370"/>
      <c r="BN73" s="370"/>
      <c r="BO73" s="370"/>
      <c r="BP73" s="370"/>
      <c r="BQ73" s="370"/>
      <c r="BR73" s="370"/>
      <c r="BS73" s="370"/>
      <c r="BT73" s="370"/>
      <c r="BU73" s="370"/>
      <c r="BV73" s="370"/>
      <c r="BW73" s="370"/>
      <c r="BX73" s="370"/>
      <c r="BY73" s="370"/>
      <c r="BZ73" s="370"/>
      <c r="CA73" s="370"/>
      <c r="CB73" s="370"/>
      <c r="CC73" s="370"/>
      <c r="CD73" s="370"/>
      <c r="CE73" s="370"/>
      <c r="CF73" s="370"/>
      <c r="CG73" s="370"/>
      <c r="CH73" s="370"/>
      <c r="CI73" s="370"/>
      <c r="CJ73" s="370"/>
      <c r="CK73" s="370"/>
      <c r="CL73" s="370"/>
      <c r="CM73" s="371"/>
      <c r="CN73" s="371"/>
      <c r="CO73" s="372"/>
      <c r="CP73" s="372"/>
      <c r="CQ73" s="370"/>
      <c r="CR73" s="370"/>
      <c r="CS73" s="370"/>
      <c r="CT73" s="370"/>
      <c r="CU73" s="370"/>
      <c r="CV73" s="370"/>
      <c r="CW73" s="370"/>
      <c r="CX73" s="370"/>
      <c r="CY73" s="370"/>
      <c r="CZ73" s="370"/>
      <c r="DA73" s="370"/>
      <c r="DB73" s="370"/>
      <c r="DC73" s="370"/>
      <c r="DD73" s="370"/>
      <c r="DE73" s="370"/>
      <c r="DF73" s="370"/>
      <c r="DG73" s="370"/>
      <c r="DH73" s="370"/>
      <c r="DI73" s="370"/>
      <c r="DJ73" s="370"/>
      <c r="DK73" s="370"/>
      <c r="DL73" s="370"/>
      <c r="DM73" s="370"/>
      <c r="DN73" s="370"/>
      <c r="DO73" s="370"/>
      <c r="DP73" s="370"/>
      <c r="DQ73" s="370"/>
      <c r="DR73" s="370"/>
      <c r="DS73" s="370"/>
      <c r="DT73" s="370"/>
      <c r="DU73" s="370"/>
      <c r="DV73" s="370"/>
      <c r="DW73" s="370"/>
      <c r="DX73" s="370"/>
      <c r="DY73" s="370"/>
      <c r="DZ73" s="370"/>
      <c r="EA73" s="370"/>
      <c r="EB73" s="370"/>
      <c r="EC73" s="370"/>
      <c r="ED73" s="370"/>
      <c r="EE73" s="370"/>
      <c r="EF73" s="370"/>
      <c r="EG73" s="370"/>
      <c r="EH73" s="370"/>
      <c r="EI73" s="370"/>
      <c r="EJ73" s="370"/>
      <c r="EK73" s="370"/>
      <c r="EL73" s="370"/>
      <c r="EM73" s="370"/>
      <c r="EN73" s="370"/>
      <c r="EO73" s="370"/>
      <c r="EP73" s="370"/>
      <c r="EQ73" s="370"/>
      <c r="ER73" s="370"/>
      <c r="ES73" s="370"/>
      <c r="ET73" s="370"/>
      <c r="EU73" s="370"/>
      <c r="EV73" s="370"/>
      <c r="EW73" s="370"/>
      <c r="EX73" s="370"/>
      <c r="EY73" s="370"/>
      <c r="EZ73" s="370"/>
      <c r="FA73" s="370"/>
      <c r="FB73" s="370"/>
      <c r="FC73" s="370"/>
      <c r="FD73" s="370"/>
      <c r="FE73" s="373"/>
      <c r="FF73" s="374"/>
      <c r="FG73" s="370"/>
      <c r="FH73" s="370"/>
      <c r="FI73" s="370"/>
      <c r="FJ73" s="370"/>
      <c r="FK73" s="370"/>
      <c r="FL73" s="370"/>
      <c r="FM73" s="375"/>
      <c r="FN73" s="370"/>
      <c r="FO73" s="370"/>
      <c r="FP73" s="375"/>
      <c r="FQ73" s="370"/>
      <c r="FR73" s="370"/>
      <c r="FS73" s="375"/>
      <c r="FT73" s="370"/>
      <c r="FU73" s="370"/>
      <c r="FV73" s="375"/>
      <c r="FW73" s="370"/>
      <c r="FX73" s="370"/>
      <c r="FY73" s="375"/>
      <c r="FZ73" s="370"/>
      <c r="GA73" s="370"/>
      <c r="GB73" s="375"/>
      <c r="GC73" s="370"/>
      <c r="GD73" s="370"/>
      <c r="GE73" s="375"/>
      <c r="GF73" s="370"/>
      <c r="GG73" s="370"/>
      <c r="GH73" s="375"/>
      <c r="GI73" s="370"/>
      <c r="GJ73" s="370"/>
      <c r="GK73" s="375"/>
      <c r="GL73" s="370"/>
      <c r="GM73" s="370"/>
      <c r="GN73" s="375"/>
      <c r="GO73" s="370"/>
      <c r="GP73" s="370"/>
      <c r="GQ73" s="375"/>
      <c r="GR73" s="370"/>
      <c r="GS73" s="370"/>
      <c r="GT73" s="375"/>
      <c r="GU73" s="370"/>
      <c r="GV73" s="370"/>
      <c r="GW73" s="375"/>
      <c r="GX73" s="370"/>
      <c r="GY73" s="370"/>
      <c r="GZ73" s="375"/>
      <c r="HA73" s="370"/>
      <c r="HB73" s="370"/>
      <c r="HC73" s="375"/>
      <c r="HD73" s="370"/>
      <c r="HE73" s="370"/>
      <c r="HF73" s="370"/>
    </row>
  </sheetData>
  <mergeCells count="1656"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  <mergeCell ref="Z4:Z7"/>
    <mergeCell ref="AA4:AA7"/>
    <mergeCell ref="AB4:AB7"/>
    <mergeCell ref="AC4:AC7"/>
    <mergeCell ref="AD4:AD7"/>
    <mergeCell ref="AE4:AE7"/>
    <mergeCell ref="AF4:AF7"/>
    <mergeCell ref="AG4:AG7"/>
    <mergeCell ref="AH4:AH7"/>
    <mergeCell ref="AI4:AI7"/>
    <mergeCell ref="AJ4:AJ7"/>
    <mergeCell ref="AK4:AK7"/>
    <mergeCell ref="AL4:AL7"/>
    <mergeCell ref="AM4:AM7"/>
    <mergeCell ref="AN4:AN7"/>
    <mergeCell ref="EC4:EC7"/>
    <mergeCell ref="ED4:ED7"/>
    <mergeCell ref="EE4:EE7"/>
    <mergeCell ref="EF4:EF7"/>
    <mergeCell ref="EG4:EG7"/>
    <mergeCell ref="EH4:EH7"/>
    <mergeCell ref="EI4:EI7"/>
    <mergeCell ref="EJ4:EJ7"/>
    <mergeCell ref="EK4:EK7"/>
    <mergeCell ref="EL4:EL7"/>
    <mergeCell ref="EM4:EM7"/>
    <mergeCell ref="EN4:EN7"/>
    <mergeCell ref="EO4:EO7"/>
    <mergeCell ref="EP4:EP7"/>
    <mergeCell ref="EQ4:EQ7"/>
    <mergeCell ref="ER4:ER7"/>
    <mergeCell ref="ES4:ES7"/>
    <mergeCell ref="ET4:ET7"/>
    <mergeCell ref="EU4:EU7"/>
    <mergeCell ref="EV4:EV7"/>
    <mergeCell ref="EW4:EW7"/>
    <mergeCell ref="EX4:EX7"/>
    <mergeCell ref="EY4:EY7"/>
    <mergeCell ref="EZ4:EZ7"/>
    <mergeCell ref="FA4:FA7"/>
    <mergeCell ref="FB4:FB7"/>
    <mergeCell ref="FC4:FC7"/>
    <mergeCell ref="FD4:FD7"/>
    <mergeCell ref="FE4:FG7"/>
    <mergeCell ref="FI4:FL5"/>
    <mergeCell ref="FM4:FO5"/>
    <mergeCell ref="FP4:FR5"/>
    <mergeCell ref="FS4:FU5"/>
    <mergeCell ref="FV4:FX5"/>
    <mergeCell ref="FY4:GA5"/>
    <mergeCell ref="GB4:GD5"/>
    <mergeCell ref="GE4:GG5"/>
    <mergeCell ref="GH4:GJ5"/>
    <mergeCell ref="GK4:GM5"/>
    <mergeCell ref="GN4:GP5"/>
    <mergeCell ref="GQ4:GS5"/>
    <mergeCell ref="GT4:GV5"/>
    <mergeCell ref="AS3:BW3"/>
    <mergeCell ref="BF4:BH4"/>
    <mergeCell ref="BI4:BK4"/>
    <mergeCell ref="BL4:BN4"/>
    <mergeCell ref="BO4:BQ4"/>
    <mergeCell ref="BR4:BT4"/>
    <mergeCell ref="BU4:BW4"/>
    <mergeCell ref="AS4:BE4"/>
    <mergeCell ref="BF5:BH5"/>
    <mergeCell ref="BI5:BK5"/>
    <mergeCell ref="BL5:BN5"/>
    <mergeCell ref="BO5:BQ5"/>
    <mergeCell ref="BR5:BT5"/>
    <mergeCell ref="BU5:BW5"/>
    <mergeCell ref="C4:K7"/>
    <mergeCell ref="L4:L7"/>
    <mergeCell ref="AO4:AO7"/>
    <mergeCell ref="AP4:AP7"/>
    <mergeCell ref="BY4:CL4"/>
    <mergeCell ref="CM4:CN4"/>
    <mergeCell ref="BY5:CL5"/>
    <mergeCell ref="CM5:CN5"/>
    <mergeCell ref="CO5:CP5"/>
    <mergeCell ref="CO4:CP4"/>
    <mergeCell ref="CR4:DG4"/>
    <mergeCell ref="CR5:DG5"/>
    <mergeCell ref="DH5:DJ5"/>
    <mergeCell ref="DX4:DY7"/>
    <mergeCell ref="DZ4:DZ7"/>
    <mergeCell ref="EA4:EA7"/>
    <mergeCell ref="EB4:EB7"/>
    <mergeCell ref="AS5:BE5"/>
    <mergeCell ref="AS6:BE6"/>
    <mergeCell ref="FM6:FO6"/>
    <mergeCell ref="FP6:FR6"/>
    <mergeCell ref="FS6:FU6"/>
    <mergeCell ref="FV6:FX6"/>
    <mergeCell ref="FY6:GA6"/>
    <mergeCell ref="GB6:GD6"/>
    <mergeCell ref="GE6:GG6"/>
    <mergeCell ref="GH6:GJ6"/>
    <mergeCell ref="GK6:GM6"/>
    <mergeCell ref="GN6:GP6"/>
    <mergeCell ref="GQ6:GS6"/>
    <mergeCell ref="GT6:GV6"/>
    <mergeCell ref="GW6:GY6"/>
    <mergeCell ref="GZ6:HB6"/>
    <mergeCell ref="GK7:GM7"/>
    <mergeCell ref="GN7:GP7"/>
    <mergeCell ref="FP7:FR7"/>
    <mergeCell ref="FS7:FU7"/>
    <mergeCell ref="FV7:FX7"/>
    <mergeCell ref="FY7:GA7"/>
    <mergeCell ref="GB7:GD7"/>
    <mergeCell ref="GE7:GG7"/>
    <mergeCell ref="GH7:GJ7"/>
    <mergeCell ref="DH8:DJ8"/>
    <mergeCell ref="DL8:DW8"/>
    <mergeCell ref="DX8:DY8"/>
    <mergeCell ref="FE8:FG8"/>
    <mergeCell ref="FI8:FK8"/>
    <mergeCell ref="FM8:FO8"/>
    <mergeCell ref="FP8:FR8"/>
    <mergeCell ref="FS8:FU8"/>
    <mergeCell ref="FV8:FX8"/>
    <mergeCell ref="FY8:GA8"/>
    <mergeCell ref="GB8:GD8"/>
    <mergeCell ref="GE8:GG8"/>
    <mergeCell ref="GH8:GJ8"/>
    <mergeCell ref="GK8:GM8"/>
    <mergeCell ref="GW8:GY8"/>
    <mergeCell ref="GZ8:HB8"/>
    <mergeCell ref="HC6:HE6"/>
    <mergeCell ref="GQ7:GS7"/>
    <mergeCell ref="GT7:GV7"/>
    <mergeCell ref="GW7:GY7"/>
    <mergeCell ref="GZ7:HB7"/>
    <mergeCell ref="HC7:HE7"/>
    <mergeCell ref="GN8:GP8"/>
    <mergeCell ref="C8:L8"/>
    <mergeCell ref="AS8:BE8"/>
    <mergeCell ref="BF8:BH8"/>
    <mergeCell ref="BI8:BK8"/>
    <mergeCell ref="BL8:BN8"/>
    <mergeCell ref="BO8:BQ8"/>
    <mergeCell ref="BR8:BT8"/>
    <mergeCell ref="BU8:BW8"/>
    <mergeCell ref="BY8:CL8"/>
    <mergeCell ref="CM8:CN8"/>
    <mergeCell ref="CO8:CP8"/>
    <mergeCell ref="CR8:DG8"/>
    <mergeCell ref="GQ8:GS8"/>
    <mergeCell ref="GT8:GV8"/>
    <mergeCell ref="BY9:CL9"/>
    <mergeCell ref="CM9:CN9"/>
    <mergeCell ref="CO9:CP9"/>
    <mergeCell ref="CR9:DG9"/>
    <mergeCell ref="DH9:DJ9"/>
    <mergeCell ref="DL9:DW9"/>
    <mergeCell ref="DX9:DY9"/>
    <mergeCell ref="AS9:BE9"/>
    <mergeCell ref="BF9:BH9"/>
    <mergeCell ref="BI9:BK9"/>
    <mergeCell ref="BL9:BN9"/>
    <mergeCell ref="BO9:BQ9"/>
    <mergeCell ref="BR9:BT9"/>
    <mergeCell ref="BU9:BW9"/>
    <mergeCell ref="GB9:GD9"/>
    <mergeCell ref="GE9:GG9"/>
    <mergeCell ref="GH9:GJ9"/>
    <mergeCell ref="GK9:GM9"/>
    <mergeCell ref="GN9:GP9"/>
    <mergeCell ref="GQ9:GS9"/>
    <mergeCell ref="GT9:GV9"/>
    <mergeCell ref="FE9:FG9"/>
    <mergeCell ref="FI9:FL9"/>
    <mergeCell ref="FM9:FO9"/>
    <mergeCell ref="FP9:FR9"/>
    <mergeCell ref="FS9:FU9"/>
    <mergeCell ref="FV9:FX9"/>
    <mergeCell ref="FY9:GA9"/>
    <mergeCell ref="GW10:GY10"/>
    <mergeCell ref="GZ10:HB10"/>
    <mergeCell ref="GB10:GD10"/>
    <mergeCell ref="GE10:GG10"/>
    <mergeCell ref="GH10:GJ10"/>
    <mergeCell ref="GK10:GM10"/>
    <mergeCell ref="GN10:GP10"/>
    <mergeCell ref="GQ10:GS10"/>
    <mergeCell ref="GT10:GV10"/>
    <mergeCell ref="AS10:BE10"/>
    <mergeCell ref="BF10:BH10"/>
    <mergeCell ref="BI10:BK10"/>
    <mergeCell ref="BL10:BN10"/>
    <mergeCell ref="BO10:BQ10"/>
    <mergeCell ref="BR10:BT10"/>
    <mergeCell ref="BU10:BW10"/>
    <mergeCell ref="AS11:BE11"/>
    <mergeCell ref="BF11:BH11"/>
    <mergeCell ref="BI11:BK11"/>
    <mergeCell ref="BL11:BN11"/>
    <mergeCell ref="BO11:BQ11"/>
    <mergeCell ref="BR11:BT11"/>
    <mergeCell ref="BU11:BW11"/>
    <mergeCell ref="GB11:GD11"/>
    <mergeCell ref="GE11:GG11"/>
    <mergeCell ref="FE11:FG11"/>
    <mergeCell ref="FI11:FL11"/>
    <mergeCell ref="FM11:FO11"/>
    <mergeCell ref="FP11:FR11"/>
    <mergeCell ref="FS11:FU11"/>
    <mergeCell ref="FV11:FX11"/>
    <mergeCell ref="FY11:GA11"/>
    <mergeCell ref="BY10:CL10"/>
    <mergeCell ref="CM10:CN10"/>
    <mergeCell ref="CO10:CP10"/>
    <mergeCell ref="CR10:DG10"/>
    <mergeCell ref="DH10:DJ10"/>
    <mergeCell ref="DL10:DW10"/>
    <mergeCell ref="DX10:DY10"/>
    <mergeCell ref="BY11:CL11"/>
    <mergeCell ref="CM11:CN11"/>
    <mergeCell ref="CO11:CP11"/>
    <mergeCell ref="CR11:DG11"/>
    <mergeCell ref="DH11:DJ11"/>
    <mergeCell ref="DL11:DW11"/>
    <mergeCell ref="DX11:DY11"/>
    <mergeCell ref="AS12:BE12"/>
    <mergeCell ref="BF12:BH12"/>
    <mergeCell ref="BI12:BK12"/>
    <mergeCell ref="BL12:BN12"/>
    <mergeCell ref="BO12:BQ12"/>
    <mergeCell ref="BR12:BT12"/>
    <mergeCell ref="BU12:BW12"/>
    <mergeCell ref="BY12:CL12"/>
    <mergeCell ref="CM12:CN12"/>
    <mergeCell ref="CO12:CP12"/>
    <mergeCell ref="DF12:DG12"/>
    <mergeCell ref="DH12:DJ12"/>
    <mergeCell ref="DL12:DW12"/>
    <mergeCell ref="DX12:DY12"/>
    <mergeCell ref="FY13:GA14"/>
    <mergeCell ref="GB13:GD14"/>
    <mergeCell ref="DL13:DW13"/>
    <mergeCell ref="DX13:DY13"/>
    <mergeCell ref="FI13:FL14"/>
    <mergeCell ref="FM13:FO14"/>
    <mergeCell ref="FP13:FR14"/>
    <mergeCell ref="FS13:FU14"/>
    <mergeCell ref="FV13:FX14"/>
    <mergeCell ref="GW13:GY14"/>
    <mergeCell ref="GZ13:HB14"/>
    <mergeCell ref="GH11:GJ11"/>
    <mergeCell ref="GE13:GG14"/>
    <mergeCell ref="GH13:GJ14"/>
    <mergeCell ref="GK13:GM14"/>
    <mergeCell ref="GN13:GP14"/>
    <mergeCell ref="GQ13:GS14"/>
    <mergeCell ref="GT13:GV14"/>
    <mergeCell ref="T14:T17"/>
    <mergeCell ref="U14:U17"/>
    <mergeCell ref="M14:M17"/>
    <mergeCell ref="N14:N17"/>
    <mergeCell ref="O14:O17"/>
    <mergeCell ref="P14:P17"/>
    <mergeCell ref="Q14:Q17"/>
    <mergeCell ref="R14:R17"/>
    <mergeCell ref="S14:S17"/>
    <mergeCell ref="AC14:AC17"/>
    <mergeCell ref="AD14:AD17"/>
    <mergeCell ref="V14:V17"/>
    <mergeCell ref="W14:W17"/>
    <mergeCell ref="X14:X17"/>
    <mergeCell ref="Y14:Y17"/>
    <mergeCell ref="Z14:Z17"/>
    <mergeCell ref="AA14:AA17"/>
    <mergeCell ref="AB14:AB17"/>
    <mergeCell ref="AL14:AL17"/>
    <mergeCell ref="AM14:AM17"/>
    <mergeCell ref="AE14:AE17"/>
    <mergeCell ref="AF14:AF17"/>
    <mergeCell ref="AG14:AG17"/>
    <mergeCell ref="AH14:AH17"/>
    <mergeCell ref="AI14:AI17"/>
    <mergeCell ref="AJ14:AJ17"/>
    <mergeCell ref="AK14:AK17"/>
    <mergeCell ref="GK11:GM11"/>
    <mergeCell ref="GN11:GP11"/>
    <mergeCell ref="GQ11:GS11"/>
    <mergeCell ref="GT11:GV11"/>
    <mergeCell ref="GW11:GY11"/>
    <mergeCell ref="GZ11:HB11"/>
    <mergeCell ref="HC11:HE11"/>
    <mergeCell ref="FE10:FG10"/>
    <mergeCell ref="FI10:FK10"/>
    <mergeCell ref="FM10:FO10"/>
    <mergeCell ref="FP10:FR10"/>
    <mergeCell ref="FS10:FU10"/>
    <mergeCell ref="FV10:FX10"/>
    <mergeCell ref="FY10:GA10"/>
    <mergeCell ref="GT15:GV15"/>
    <mergeCell ref="GW15:GY15"/>
    <mergeCell ref="FY15:GA15"/>
    <mergeCell ref="GB15:GD15"/>
    <mergeCell ref="GE15:GG15"/>
    <mergeCell ref="GH15:GJ15"/>
    <mergeCell ref="GK15:GM15"/>
    <mergeCell ref="GN15:GP15"/>
    <mergeCell ref="GQ15:GS15"/>
    <mergeCell ref="FM15:FO15"/>
    <mergeCell ref="FM16:FO16"/>
    <mergeCell ref="FP16:FR16"/>
    <mergeCell ref="FS16:FU16"/>
    <mergeCell ref="FC14:FD14"/>
    <mergeCell ref="FE14:FG14"/>
    <mergeCell ref="FI15:FL15"/>
    <mergeCell ref="FP15:FR15"/>
    <mergeCell ref="FS15:FU15"/>
    <mergeCell ref="FV15:FX15"/>
    <mergeCell ref="FI16:FK16"/>
    <mergeCell ref="FV16:FX16"/>
    <mergeCell ref="GT16:GV16"/>
    <mergeCell ref="GW16:GY16"/>
    <mergeCell ref="FY16:GA16"/>
    <mergeCell ref="GB16:GD16"/>
    <mergeCell ref="GE16:GG16"/>
    <mergeCell ref="GH16:GJ16"/>
    <mergeCell ref="GK16:GM16"/>
    <mergeCell ref="GN16:GP16"/>
    <mergeCell ref="GQ16:GS16"/>
    <mergeCell ref="DH4:DJ4"/>
    <mergeCell ref="DL4:DW7"/>
    <mergeCell ref="DH6:DJ6"/>
    <mergeCell ref="DH7:DJ7"/>
    <mergeCell ref="GW4:GY5"/>
    <mergeCell ref="GZ4:HB5"/>
    <mergeCell ref="AQ4:AQ7"/>
    <mergeCell ref="BF6:BH6"/>
    <mergeCell ref="AS7:BE7"/>
    <mergeCell ref="BF7:BH7"/>
    <mergeCell ref="BI6:BK6"/>
    <mergeCell ref="BL6:BN6"/>
    <mergeCell ref="BI7:BK7"/>
    <mergeCell ref="BL7:BN7"/>
    <mergeCell ref="BO6:BQ6"/>
    <mergeCell ref="BR6:BT6"/>
    <mergeCell ref="BO7:BQ7"/>
    <mergeCell ref="BR7:BT7"/>
    <mergeCell ref="BU7:BW7"/>
    <mergeCell ref="BU6:BW6"/>
    <mergeCell ref="BY6:CL6"/>
    <mergeCell ref="BY7:CL7"/>
    <mergeCell ref="CM6:CN6"/>
    <mergeCell ref="CO6:CP6"/>
    <mergeCell ref="CM7:CN7"/>
    <mergeCell ref="CO7:CP7"/>
    <mergeCell ref="CR7:DG7"/>
    <mergeCell ref="FI7:FL7"/>
    <mergeCell ref="FM7:FO7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S22:BE22"/>
    <mergeCell ref="EA22:EA25"/>
    <mergeCell ref="EB22:EB25"/>
    <mergeCell ref="CM22:CN22"/>
    <mergeCell ref="CO22:CP22"/>
    <mergeCell ref="CR22:DG22"/>
    <mergeCell ref="DH22:DJ22"/>
    <mergeCell ref="DL22:DW25"/>
    <mergeCell ref="DX22:DY25"/>
    <mergeCell ref="DZ22:DZ25"/>
    <mergeCell ref="EJ22:EJ25"/>
    <mergeCell ref="EK22:EK25"/>
    <mergeCell ref="EC22:EC25"/>
    <mergeCell ref="ED22:ED25"/>
    <mergeCell ref="EE22:EE25"/>
    <mergeCell ref="EF22:EF25"/>
    <mergeCell ref="EG22:EG25"/>
    <mergeCell ref="EH22:EH25"/>
    <mergeCell ref="EI22:EI25"/>
    <mergeCell ref="ES22:ES25"/>
    <mergeCell ref="ET22:ET25"/>
    <mergeCell ref="EL22:EL25"/>
    <mergeCell ref="EM22:EM25"/>
    <mergeCell ref="EN22:EN25"/>
    <mergeCell ref="EO22:EO25"/>
    <mergeCell ref="EP22:EP25"/>
    <mergeCell ref="EQ22:EQ25"/>
    <mergeCell ref="ER22:ER25"/>
    <mergeCell ref="FB22:FB25"/>
    <mergeCell ref="FC22:FC25"/>
    <mergeCell ref="EU22:EU25"/>
    <mergeCell ref="EV22:EV25"/>
    <mergeCell ref="EW22:EW25"/>
    <mergeCell ref="EX22:EX25"/>
    <mergeCell ref="EY22:EY25"/>
    <mergeCell ref="EZ22:EZ25"/>
    <mergeCell ref="FA22:FA25"/>
    <mergeCell ref="FY22:GA23"/>
    <mergeCell ref="GB22:GD23"/>
    <mergeCell ref="GQ25:GS25"/>
    <mergeCell ref="GT25:GV25"/>
    <mergeCell ref="GW25:GY25"/>
    <mergeCell ref="GZ25:HB25"/>
    <mergeCell ref="FD22:FD25"/>
    <mergeCell ref="FE22:FG25"/>
    <mergeCell ref="FI22:FL23"/>
    <mergeCell ref="FM22:FO23"/>
    <mergeCell ref="FP22:FR23"/>
    <mergeCell ref="FS22:FU23"/>
    <mergeCell ref="FV22:FX23"/>
    <mergeCell ref="GZ22:HB23"/>
    <mergeCell ref="HC22:HE23"/>
    <mergeCell ref="DL21:FD21"/>
    <mergeCell ref="FI21:HE21"/>
    <mergeCell ref="GE22:GG23"/>
    <mergeCell ref="GH22:GJ23"/>
    <mergeCell ref="GK22:GM23"/>
    <mergeCell ref="GN22:GP23"/>
    <mergeCell ref="GQ22:GS23"/>
    <mergeCell ref="BY23:CL23"/>
    <mergeCell ref="CM23:CN23"/>
    <mergeCell ref="AS23:BE23"/>
    <mergeCell ref="BF23:BH23"/>
    <mergeCell ref="BI23:BK23"/>
    <mergeCell ref="BL23:BN23"/>
    <mergeCell ref="BO23:BQ23"/>
    <mergeCell ref="BR23:BT23"/>
    <mergeCell ref="BU23:BW23"/>
    <mergeCell ref="CO23:CP23"/>
    <mergeCell ref="CR23:DG23"/>
    <mergeCell ref="DH23:DJ23"/>
    <mergeCell ref="BF22:BH22"/>
    <mergeCell ref="BI22:BK22"/>
    <mergeCell ref="BL22:BN22"/>
    <mergeCell ref="BO22:BQ22"/>
    <mergeCell ref="BR22:BT22"/>
    <mergeCell ref="BU22:BW22"/>
    <mergeCell ref="BY22:CL22"/>
    <mergeCell ref="FP24:FR24"/>
    <mergeCell ref="FS24:FU24"/>
    <mergeCell ref="BY24:CL24"/>
    <mergeCell ref="CM24:CN24"/>
    <mergeCell ref="CO24:CP24"/>
    <mergeCell ref="CR24:DG24"/>
    <mergeCell ref="DH24:DJ24"/>
    <mergeCell ref="FI24:FL24"/>
    <mergeCell ref="FM24:FO24"/>
    <mergeCell ref="GQ24:GS24"/>
    <mergeCell ref="GT24:GV24"/>
    <mergeCell ref="GZ24:HB24"/>
    <mergeCell ref="HC24:HE24"/>
    <mergeCell ref="GT22:GV23"/>
    <mergeCell ref="GW22:GY23"/>
    <mergeCell ref="FV24:FX24"/>
    <mergeCell ref="FY24:GA24"/>
    <mergeCell ref="GB24:GD24"/>
    <mergeCell ref="GE24:GG24"/>
    <mergeCell ref="GH24:GJ24"/>
    <mergeCell ref="GW24:GY24"/>
    <mergeCell ref="AS24:BE24"/>
    <mergeCell ref="BF24:BH24"/>
    <mergeCell ref="BI24:BK24"/>
    <mergeCell ref="BL24:BN24"/>
    <mergeCell ref="BO24:BQ24"/>
    <mergeCell ref="BR24:BT24"/>
    <mergeCell ref="BU24:BW24"/>
    <mergeCell ref="AS25:BE25"/>
    <mergeCell ref="BF25:BH25"/>
    <mergeCell ref="BI25:BK25"/>
    <mergeCell ref="BL25:BN25"/>
    <mergeCell ref="BO25:BQ25"/>
    <mergeCell ref="BR25:BT25"/>
    <mergeCell ref="BU25:BW25"/>
    <mergeCell ref="GK25:GM25"/>
    <mergeCell ref="GN25:GP25"/>
    <mergeCell ref="FP25:FR25"/>
    <mergeCell ref="FS25:FU25"/>
    <mergeCell ref="FV25:FX25"/>
    <mergeCell ref="FY25:GA25"/>
    <mergeCell ref="GB25:GD25"/>
    <mergeCell ref="GE25:GG25"/>
    <mergeCell ref="GH25:GJ25"/>
    <mergeCell ref="BY26:CL26"/>
    <mergeCell ref="CM26:CN26"/>
    <mergeCell ref="AS26:BE26"/>
    <mergeCell ref="BF26:BH26"/>
    <mergeCell ref="BI26:BK26"/>
    <mergeCell ref="BL26:BN26"/>
    <mergeCell ref="BO26:BQ26"/>
    <mergeCell ref="BR26:BT26"/>
    <mergeCell ref="BU26:BW26"/>
    <mergeCell ref="CR25:DG25"/>
    <mergeCell ref="CR26:DG26"/>
    <mergeCell ref="FI25:FL25"/>
    <mergeCell ref="FE26:FG26"/>
    <mergeCell ref="FI26:FK26"/>
    <mergeCell ref="BY25:CL25"/>
    <mergeCell ref="CM25:CN25"/>
    <mergeCell ref="CO25:CP25"/>
    <mergeCell ref="DH25:DJ25"/>
    <mergeCell ref="FM25:FO25"/>
    <mergeCell ref="CO26:CP26"/>
    <mergeCell ref="DX26:DY26"/>
    <mergeCell ref="FM26:FO26"/>
    <mergeCell ref="GZ26:HB26"/>
    <mergeCell ref="HC26:HE26"/>
    <mergeCell ref="GE26:GG26"/>
    <mergeCell ref="GH26:GJ26"/>
    <mergeCell ref="GK26:GM26"/>
    <mergeCell ref="GN26:GP26"/>
    <mergeCell ref="GQ26:GS26"/>
    <mergeCell ref="GT26:GV26"/>
    <mergeCell ref="GW26:GY26"/>
    <mergeCell ref="BR27:BT27"/>
    <mergeCell ref="BU27:BW27"/>
    <mergeCell ref="C26:L26"/>
    <mergeCell ref="C27:L27"/>
    <mergeCell ref="AS27:BE27"/>
    <mergeCell ref="BF27:BH27"/>
    <mergeCell ref="BI27:BK27"/>
    <mergeCell ref="BL27:BN27"/>
    <mergeCell ref="BO27:BQ27"/>
    <mergeCell ref="FE27:FG27"/>
    <mergeCell ref="FI27:FL27"/>
    <mergeCell ref="BY27:CL27"/>
    <mergeCell ref="CM27:CN27"/>
    <mergeCell ref="CO27:CP27"/>
    <mergeCell ref="CR27:DG27"/>
    <mergeCell ref="DH27:DJ27"/>
    <mergeCell ref="DL27:DW27"/>
    <mergeCell ref="DX27:DY27"/>
    <mergeCell ref="GH27:GJ27"/>
    <mergeCell ref="GK27:GM27"/>
    <mergeCell ref="FM27:FO27"/>
    <mergeCell ref="FP27:FR27"/>
    <mergeCell ref="FS27:FU27"/>
    <mergeCell ref="FV27:FX27"/>
    <mergeCell ref="FY27:GA27"/>
    <mergeCell ref="GB27:GD27"/>
    <mergeCell ref="GE27:GG27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22:B35"/>
    <mergeCell ref="C22:K25"/>
    <mergeCell ref="L22:L25"/>
    <mergeCell ref="M22:M25"/>
    <mergeCell ref="N22:N25"/>
    <mergeCell ref="O22:O25"/>
    <mergeCell ref="P22:P25"/>
    <mergeCell ref="P32:P35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C44:L44"/>
    <mergeCell ref="C45:L45"/>
    <mergeCell ref="C46:L46"/>
    <mergeCell ref="C47:L47"/>
    <mergeCell ref="C48:L48"/>
    <mergeCell ref="C49:L49"/>
    <mergeCell ref="AH68:AH71"/>
    <mergeCell ref="AI68:AI71"/>
    <mergeCell ref="AA68:AA71"/>
    <mergeCell ref="AB68:AB71"/>
    <mergeCell ref="AC68:AC71"/>
    <mergeCell ref="AD68:AD71"/>
    <mergeCell ref="AE68:AE71"/>
    <mergeCell ref="AF68:AF71"/>
    <mergeCell ref="AG68:AG71"/>
    <mergeCell ref="C50:L53"/>
    <mergeCell ref="M50:M53"/>
    <mergeCell ref="O50:O53"/>
    <mergeCell ref="P50:P53"/>
    <mergeCell ref="Q50:Q53"/>
    <mergeCell ref="R50:R53"/>
    <mergeCell ref="S50:S53"/>
    <mergeCell ref="C57:AQ57"/>
    <mergeCell ref="AO50:AO53"/>
    <mergeCell ref="AP50:AP53"/>
    <mergeCell ref="AQ50:AQ53"/>
    <mergeCell ref="A40:B53"/>
    <mergeCell ref="A58:B71"/>
    <mergeCell ref="AL58:AL61"/>
    <mergeCell ref="AM58:AM61"/>
    <mergeCell ref="AN58:AN61"/>
    <mergeCell ref="AO58:AO61"/>
    <mergeCell ref="AP58:AP61"/>
    <mergeCell ref="AQ58:AQ61"/>
    <mergeCell ref="C64:L64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H50:AH53"/>
    <mergeCell ref="AI50:AI53"/>
    <mergeCell ref="AJ50:AJ53"/>
    <mergeCell ref="AK50:AK53"/>
    <mergeCell ref="AL50:AL53"/>
    <mergeCell ref="AM50:AM53"/>
    <mergeCell ref="AN50:AN53"/>
    <mergeCell ref="AC32:AC35"/>
    <mergeCell ref="AD32:AD35"/>
    <mergeCell ref="V32:V35"/>
    <mergeCell ref="W32:W35"/>
    <mergeCell ref="X32:X35"/>
    <mergeCell ref="Y32:Y35"/>
    <mergeCell ref="Z32:Z35"/>
    <mergeCell ref="AA32:AA35"/>
    <mergeCell ref="AB32:AB35"/>
    <mergeCell ref="R58:R61"/>
    <mergeCell ref="S58:S61"/>
    <mergeCell ref="C58:K61"/>
    <mergeCell ref="L58:L61"/>
    <mergeCell ref="M58:M61"/>
    <mergeCell ref="N58:N61"/>
    <mergeCell ref="O58:O61"/>
    <mergeCell ref="P58:P61"/>
    <mergeCell ref="Q58:Q61"/>
    <mergeCell ref="AA58:AA61"/>
    <mergeCell ref="AB58:AB61"/>
    <mergeCell ref="T58:T61"/>
    <mergeCell ref="U58:U61"/>
    <mergeCell ref="V58:V61"/>
    <mergeCell ref="W58:W61"/>
    <mergeCell ref="X58:X61"/>
    <mergeCell ref="Y58:Y61"/>
    <mergeCell ref="Z58:Z61"/>
    <mergeCell ref="AJ58:AJ61"/>
    <mergeCell ref="AK58:AK61"/>
    <mergeCell ref="AC58:AC61"/>
    <mergeCell ref="AD58:AD61"/>
    <mergeCell ref="AE58:AE61"/>
    <mergeCell ref="AF58:AF61"/>
    <mergeCell ref="AG58:AG61"/>
    <mergeCell ref="AH58:AH61"/>
    <mergeCell ref="AI58:AI61"/>
    <mergeCell ref="C62:L62"/>
    <mergeCell ref="C63:L63"/>
    <mergeCell ref="C32:L35"/>
    <mergeCell ref="M32:M35"/>
    <mergeCell ref="C40:K43"/>
    <mergeCell ref="L40:L43"/>
    <mergeCell ref="M40:M43"/>
    <mergeCell ref="N40:N43"/>
    <mergeCell ref="N50:N53"/>
    <mergeCell ref="P68:P71"/>
    <mergeCell ref="Q68:Q71"/>
    <mergeCell ref="C65:L65"/>
    <mergeCell ref="C66:L66"/>
    <mergeCell ref="C67:L67"/>
    <mergeCell ref="C68:L71"/>
    <mergeCell ref="M68:M71"/>
    <mergeCell ref="N68:N71"/>
    <mergeCell ref="O68:O71"/>
    <mergeCell ref="Y68:Y71"/>
    <mergeCell ref="Z68:Z71"/>
    <mergeCell ref="R68:R71"/>
    <mergeCell ref="S68:S71"/>
    <mergeCell ref="T68:T71"/>
    <mergeCell ref="U68:U71"/>
    <mergeCell ref="V68:V71"/>
    <mergeCell ref="W68:W71"/>
    <mergeCell ref="X68:X71"/>
    <mergeCell ref="AS28:BE28"/>
    <mergeCell ref="BF28:BH28"/>
    <mergeCell ref="BI28:BK28"/>
    <mergeCell ref="BL28:BN28"/>
    <mergeCell ref="BO28:BQ28"/>
    <mergeCell ref="BR28:BT28"/>
    <mergeCell ref="BU28:BW28"/>
    <mergeCell ref="BY28:CL28"/>
    <mergeCell ref="CM28:CN28"/>
    <mergeCell ref="CO28:CP28"/>
    <mergeCell ref="CR28:DG28"/>
    <mergeCell ref="DH28:DJ28"/>
    <mergeCell ref="DL28:DW28"/>
    <mergeCell ref="DX28:DY28"/>
    <mergeCell ref="GW28:GY28"/>
    <mergeCell ref="GZ28:HB28"/>
    <mergeCell ref="GB28:GD28"/>
    <mergeCell ref="GE28:GG28"/>
    <mergeCell ref="GH28:GJ28"/>
    <mergeCell ref="GK28:GM28"/>
    <mergeCell ref="GN28:GP28"/>
    <mergeCell ref="GQ28:GS28"/>
    <mergeCell ref="GT28:GV28"/>
    <mergeCell ref="BR29:BT29"/>
    <mergeCell ref="BU29:BW29"/>
    <mergeCell ref="C28:L28"/>
    <mergeCell ref="C29:L29"/>
    <mergeCell ref="AS29:BE29"/>
    <mergeCell ref="BF29:BH29"/>
    <mergeCell ref="BI29:BK29"/>
    <mergeCell ref="BL29:BN29"/>
    <mergeCell ref="BO29:BQ29"/>
    <mergeCell ref="FE29:FG29"/>
    <mergeCell ref="FI29:FL29"/>
    <mergeCell ref="FM29:FO29"/>
    <mergeCell ref="FP29:FR29"/>
    <mergeCell ref="FS29:FU29"/>
    <mergeCell ref="FV29:FX29"/>
    <mergeCell ref="FY29:GA29"/>
    <mergeCell ref="FE28:FG28"/>
    <mergeCell ref="FI28:FK28"/>
    <mergeCell ref="FM28:FO28"/>
    <mergeCell ref="FP28:FR28"/>
    <mergeCell ref="FS28:FU28"/>
    <mergeCell ref="FV28:FX28"/>
    <mergeCell ref="FY28:GA28"/>
    <mergeCell ref="GW29:GY29"/>
    <mergeCell ref="GZ29:HB29"/>
    <mergeCell ref="GB29:GD29"/>
    <mergeCell ref="GE29:GG29"/>
    <mergeCell ref="GH29:GJ29"/>
    <mergeCell ref="GK29:GM29"/>
    <mergeCell ref="GN29:GP29"/>
    <mergeCell ref="GQ29:GS29"/>
    <mergeCell ref="GT29:GV29"/>
    <mergeCell ref="BY30:CL30"/>
    <mergeCell ref="CM30:CN30"/>
    <mergeCell ref="AS30:BE30"/>
    <mergeCell ref="BF30:BH30"/>
    <mergeCell ref="BI30:BK30"/>
    <mergeCell ref="BL30:BN30"/>
    <mergeCell ref="BO30:BQ30"/>
    <mergeCell ref="BR30:BT30"/>
    <mergeCell ref="BU30:BW30"/>
    <mergeCell ref="DL30:DW30"/>
    <mergeCell ref="DX30:DY30"/>
    <mergeCell ref="BY29:CL29"/>
    <mergeCell ref="CM29:CN29"/>
    <mergeCell ref="CO29:CP29"/>
    <mergeCell ref="CR29:DG29"/>
    <mergeCell ref="DL29:DW29"/>
    <mergeCell ref="DX29:DY29"/>
    <mergeCell ref="CO30:CP30"/>
    <mergeCell ref="CR6:DG6"/>
    <mergeCell ref="FI6:FL6"/>
    <mergeCell ref="C3:AQ3"/>
    <mergeCell ref="BY3:CP3"/>
    <mergeCell ref="CR3:DJ3"/>
    <mergeCell ref="DL3:FD3"/>
    <mergeCell ref="FI3:HE3"/>
    <mergeCell ref="HC4:HE5"/>
    <mergeCell ref="HC8:HE8"/>
    <mergeCell ref="FE12:FG12"/>
    <mergeCell ref="FI12:HE12"/>
    <mergeCell ref="AS13:BE13"/>
    <mergeCell ref="BF13:BH13"/>
    <mergeCell ref="BY13:CL13"/>
    <mergeCell ref="CM13:CN13"/>
    <mergeCell ref="CO13:CP13"/>
    <mergeCell ref="FE13:FG13"/>
    <mergeCell ref="A4:B17"/>
    <mergeCell ref="C9:L9"/>
    <mergeCell ref="C10:L10"/>
    <mergeCell ref="C11:L11"/>
    <mergeCell ref="C12:L12"/>
    <mergeCell ref="C13:L13"/>
    <mergeCell ref="C14:L17"/>
    <mergeCell ref="AS15:BE15"/>
    <mergeCell ref="AS16:BE16"/>
    <mergeCell ref="GZ16:HB16"/>
    <mergeCell ref="HC16:HE16"/>
    <mergeCell ref="GW9:GY9"/>
    <mergeCell ref="GZ9:HB9"/>
    <mergeCell ref="HC9:HE9"/>
    <mergeCell ref="HC10:HE10"/>
    <mergeCell ref="HC13:HE14"/>
    <mergeCell ref="GZ15:HB15"/>
    <mergeCell ref="HC15:HE15"/>
    <mergeCell ref="FS34:FU34"/>
    <mergeCell ref="FV34:FX34"/>
    <mergeCell ref="FY34:GA34"/>
    <mergeCell ref="GB34:GD34"/>
    <mergeCell ref="GE34:GG34"/>
    <mergeCell ref="GH34:GJ34"/>
    <mergeCell ref="GK34:GM34"/>
    <mergeCell ref="GN34:GP34"/>
    <mergeCell ref="GQ34:GS34"/>
    <mergeCell ref="GT34:GV34"/>
    <mergeCell ref="GW34:GY34"/>
    <mergeCell ref="GZ34:HB34"/>
    <mergeCell ref="GN33:GP33"/>
    <mergeCell ref="GQ33:GS33"/>
    <mergeCell ref="GZ33:HB33"/>
    <mergeCell ref="HC33:HE33"/>
    <mergeCell ref="FI34:FK34"/>
    <mergeCell ref="FM34:FO34"/>
    <mergeCell ref="FP34:FR34"/>
    <mergeCell ref="HC34:HE34"/>
    <mergeCell ref="BF16:BH16"/>
    <mergeCell ref="AS17:BE17"/>
    <mergeCell ref="BF17:BH17"/>
    <mergeCell ref="C21:AQ21"/>
    <mergeCell ref="AS21:BW21"/>
    <mergeCell ref="BY21:CP21"/>
    <mergeCell ref="CR21:DJ21"/>
    <mergeCell ref="AN14:AN17"/>
    <mergeCell ref="AO14:AO17"/>
    <mergeCell ref="AP14:AP17"/>
    <mergeCell ref="AQ14:AQ17"/>
    <mergeCell ref="AS14:BE14"/>
    <mergeCell ref="BF14:BH14"/>
    <mergeCell ref="BF15:BH15"/>
    <mergeCell ref="DH26:DJ26"/>
    <mergeCell ref="DL26:DW26"/>
    <mergeCell ref="FP26:FR26"/>
    <mergeCell ref="FS26:FU26"/>
    <mergeCell ref="FV26:FX26"/>
    <mergeCell ref="FY26:GA26"/>
    <mergeCell ref="GB26:GD26"/>
    <mergeCell ref="GK24:GM24"/>
    <mergeCell ref="GN24:GP24"/>
    <mergeCell ref="HC25:HE25"/>
    <mergeCell ref="GN27:GP27"/>
    <mergeCell ref="GQ27:GS27"/>
    <mergeCell ref="GT27:GV27"/>
    <mergeCell ref="GW27:GY27"/>
    <mergeCell ref="N32:N35"/>
    <mergeCell ref="O32:O35"/>
    <mergeCell ref="Q32:Q35"/>
    <mergeCell ref="R32:R35"/>
    <mergeCell ref="S32:S35"/>
    <mergeCell ref="T32:T35"/>
    <mergeCell ref="U32:U35"/>
    <mergeCell ref="AS33:BE33"/>
    <mergeCell ref="AS34:BE34"/>
    <mergeCell ref="BF34:BH34"/>
    <mergeCell ref="AS35:BE35"/>
    <mergeCell ref="BF35:BH35"/>
    <mergeCell ref="AN32:AN35"/>
    <mergeCell ref="AO32:AO35"/>
    <mergeCell ref="AP32:AP35"/>
    <mergeCell ref="AQ32:AQ35"/>
    <mergeCell ref="AS32:BE32"/>
    <mergeCell ref="BF32:BH32"/>
    <mergeCell ref="BF33:BH33"/>
    <mergeCell ref="CR41:DG41"/>
    <mergeCell ref="DH41:DJ41"/>
    <mergeCell ref="CR42:DG42"/>
    <mergeCell ref="DH42:DJ42"/>
    <mergeCell ref="CR43:DG43"/>
    <mergeCell ref="DH43:DJ43"/>
    <mergeCell ref="CR40:DG40"/>
    <mergeCell ref="DH40:DJ40"/>
    <mergeCell ref="DL40:DW43"/>
    <mergeCell ref="DX40:DY43"/>
    <mergeCell ref="DZ40:DZ43"/>
    <mergeCell ref="EA40:EA43"/>
    <mergeCell ref="EB40:EB43"/>
    <mergeCell ref="FI42:FL42"/>
    <mergeCell ref="FM42:FO42"/>
    <mergeCell ref="FV42:FX42"/>
    <mergeCell ref="FY42:GA42"/>
    <mergeCell ref="FI43:FL43"/>
    <mergeCell ref="FM43:FO43"/>
    <mergeCell ref="FP43:FR43"/>
    <mergeCell ref="FS43:FU43"/>
    <mergeCell ref="FV43:FX43"/>
    <mergeCell ref="FY43:GA43"/>
    <mergeCell ref="FE40:FG43"/>
    <mergeCell ref="FI40:FL41"/>
    <mergeCell ref="FM40:FO41"/>
    <mergeCell ref="FP40:FR41"/>
    <mergeCell ref="FS40:FU41"/>
    <mergeCell ref="FV40:FX41"/>
    <mergeCell ref="FY40:GA41"/>
    <mergeCell ref="GQ42:GS42"/>
    <mergeCell ref="GT42:GV42"/>
    <mergeCell ref="GW42:GY42"/>
    <mergeCell ref="GZ42:HB42"/>
    <mergeCell ref="HC42:HE42"/>
    <mergeCell ref="FP42:FR42"/>
    <mergeCell ref="FS42:FU42"/>
    <mergeCell ref="GB42:GD42"/>
    <mergeCell ref="GE42:GG42"/>
    <mergeCell ref="GH42:GJ42"/>
    <mergeCell ref="GK42:GM42"/>
    <mergeCell ref="GN42:GP42"/>
    <mergeCell ref="EC40:EC43"/>
    <mergeCell ref="ED40:ED43"/>
    <mergeCell ref="EE40:EE43"/>
    <mergeCell ref="EF40:EF43"/>
    <mergeCell ref="EG40:EG43"/>
    <mergeCell ref="EH40:EH43"/>
    <mergeCell ref="EI40:EI43"/>
    <mergeCell ref="EJ40:EJ43"/>
    <mergeCell ref="EK40:EK43"/>
    <mergeCell ref="EL40:EL43"/>
    <mergeCell ref="EM40:EM43"/>
    <mergeCell ref="EN40:EN43"/>
    <mergeCell ref="EO40:EO43"/>
    <mergeCell ref="EP40:EP43"/>
    <mergeCell ref="EQ40:EQ43"/>
    <mergeCell ref="ER40:ER43"/>
    <mergeCell ref="ES40:ES43"/>
    <mergeCell ref="ET40:ET43"/>
    <mergeCell ref="EU40:EU43"/>
    <mergeCell ref="EV40:EV43"/>
    <mergeCell ref="EW40:EW43"/>
    <mergeCell ref="EX40:EX43"/>
    <mergeCell ref="EY40:EY43"/>
    <mergeCell ref="EZ40:EZ43"/>
    <mergeCell ref="FA40:FA43"/>
    <mergeCell ref="FB40:FB43"/>
    <mergeCell ref="FC40:FC43"/>
    <mergeCell ref="FD40:FD43"/>
    <mergeCell ref="GW40:GY41"/>
    <mergeCell ref="GZ40:HB41"/>
    <mergeCell ref="HC40:HE41"/>
    <mergeCell ref="GB40:GD41"/>
    <mergeCell ref="GE40:GG41"/>
    <mergeCell ref="GH40:GJ41"/>
    <mergeCell ref="GK40:GM41"/>
    <mergeCell ref="GN40:GP41"/>
    <mergeCell ref="GQ40:GS41"/>
    <mergeCell ref="GT40:GV41"/>
    <mergeCell ref="GW43:GY43"/>
    <mergeCell ref="GZ43:HB43"/>
    <mergeCell ref="HC43:HE43"/>
    <mergeCell ref="GB43:GD43"/>
    <mergeCell ref="GE43:GG43"/>
    <mergeCell ref="GH43:GJ43"/>
    <mergeCell ref="GK43:GM43"/>
    <mergeCell ref="GN43:GP43"/>
    <mergeCell ref="GQ43:GS43"/>
    <mergeCell ref="GT43:GV43"/>
    <mergeCell ref="BY44:CL44"/>
    <mergeCell ref="CM44:CN44"/>
    <mergeCell ref="CO44:CP44"/>
    <mergeCell ref="CR44:DG44"/>
    <mergeCell ref="DH44:DJ44"/>
    <mergeCell ref="DL44:DW44"/>
    <mergeCell ref="DX44:DY44"/>
    <mergeCell ref="AS44:BE44"/>
    <mergeCell ref="BF44:BH44"/>
    <mergeCell ref="BI44:BK44"/>
    <mergeCell ref="BL44:BN44"/>
    <mergeCell ref="BO44:BQ44"/>
    <mergeCell ref="BR44:BT44"/>
    <mergeCell ref="BU44:BW44"/>
    <mergeCell ref="GB44:GD44"/>
    <mergeCell ref="GE44:GG44"/>
    <mergeCell ref="GH44:GJ44"/>
    <mergeCell ref="GK44:GM44"/>
    <mergeCell ref="GN44:GP44"/>
    <mergeCell ref="GQ44:GS44"/>
    <mergeCell ref="GT44:GV44"/>
    <mergeCell ref="FE44:FG44"/>
    <mergeCell ref="FI44:FK44"/>
    <mergeCell ref="FM44:FO44"/>
    <mergeCell ref="FP44:FR44"/>
    <mergeCell ref="FS44:FU44"/>
    <mergeCell ref="FV44:FX44"/>
    <mergeCell ref="FY44:GA44"/>
    <mergeCell ref="GW45:GY45"/>
    <mergeCell ref="GZ45:HB45"/>
    <mergeCell ref="GB45:GD45"/>
    <mergeCell ref="GE45:GG45"/>
    <mergeCell ref="GH45:GJ45"/>
    <mergeCell ref="GK45:GM45"/>
    <mergeCell ref="GN45:GP45"/>
    <mergeCell ref="GQ45:GS45"/>
    <mergeCell ref="GT45:GV45"/>
    <mergeCell ref="BI40:BK40"/>
    <mergeCell ref="BL40:BN40"/>
    <mergeCell ref="AS41:BE41"/>
    <mergeCell ref="BF41:BH41"/>
    <mergeCell ref="BI41:BK41"/>
    <mergeCell ref="BL41:BN41"/>
    <mergeCell ref="BL42:BN42"/>
    <mergeCell ref="BU43:BW43"/>
    <mergeCell ref="BY43:CL43"/>
    <mergeCell ref="CM43:CN43"/>
    <mergeCell ref="CO43:CP43"/>
    <mergeCell ref="AS42:BE42"/>
    <mergeCell ref="AS43:BE43"/>
    <mergeCell ref="BF43:BH43"/>
    <mergeCell ref="BI43:BK43"/>
    <mergeCell ref="BL43:BN43"/>
    <mergeCell ref="BO43:BQ43"/>
    <mergeCell ref="BR43:BT43"/>
    <mergeCell ref="GW44:GY44"/>
    <mergeCell ref="GZ44:HB44"/>
    <mergeCell ref="HC44:HE44"/>
    <mergeCell ref="HC45:HE45"/>
    <mergeCell ref="BY45:CL45"/>
    <mergeCell ref="CM45:CN45"/>
    <mergeCell ref="CO45:CP45"/>
    <mergeCell ref="CR45:DG45"/>
    <mergeCell ref="DH45:DJ45"/>
    <mergeCell ref="DL45:DW45"/>
    <mergeCell ref="DX45:DY45"/>
    <mergeCell ref="AS45:BE45"/>
    <mergeCell ref="BF45:BH45"/>
    <mergeCell ref="BI45:BK45"/>
    <mergeCell ref="BL45:BN45"/>
    <mergeCell ref="BO45:BQ45"/>
    <mergeCell ref="BR45:BT45"/>
    <mergeCell ref="BU45:BW45"/>
    <mergeCell ref="FE45:FG45"/>
    <mergeCell ref="FI45:FL45"/>
    <mergeCell ref="FM45:FO45"/>
    <mergeCell ref="FP45:FR45"/>
    <mergeCell ref="FS45:FU45"/>
    <mergeCell ref="FV45:FX45"/>
    <mergeCell ref="FY45:GA45"/>
    <mergeCell ref="DL31:DW31"/>
    <mergeCell ref="DX31:DY31"/>
    <mergeCell ref="C30:L30"/>
    <mergeCell ref="C31:L31"/>
    <mergeCell ref="AS31:BE31"/>
    <mergeCell ref="BF31:BH31"/>
    <mergeCell ref="BY31:CL31"/>
    <mergeCell ref="CM31:CN31"/>
    <mergeCell ref="CO31:CP31"/>
    <mergeCell ref="FS31:FU32"/>
    <mergeCell ref="FV31:FX32"/>
    <mergeCell ref="FY31:GA32"/>
    <mergeCell ref="GB31:GD32"/>
    <mergeCell ref="GE31:GG32"/>
    <mergeCell ref="GH31:GJ32"/>
    <mergeCell ref="GK31:GM32"/>
    <mergeCell ref="GN31:GP32"/>
    <mergeCell ref="GQ31:GS32"/>
    <mergeCell ref="GT31:GV32"/>
    <mergeCell ref="GW31:GY32"/>
    <mergeCell ref="GZ31:HB32"/>
    <mergeCell ref="FE31:FG31"/>
    <mergeCell ref="FC32:FD32"/>
    <mergeCell ref="FE32:FG32"/>
    <mergeCell ref="DH29:DJ29"/>
    <mergeCell ref="DF30:DG30"/>
    <mergeCell ref="DH30:DJ30"/>
    <mergeCell ref="FE30:FG30"/>
    <mergeCell ref="FI30:HE30"/>
    <mergeCell ref="FI31:FL32"/>
    <mergeCell ref="HC31:HE32"/>
    <mergeCell ref="FY33:GA33"/>
    <mergeCell ref="GB33:GD33"/>
    <mergeCell ref="FI39:HE39"/>
    <mergeCell ref="FM31:FO32"/>
    <mergeCell ref="FP31:FR32"/>
    <mergeCell ref="FI33:FL33"/>
    <mergeCell ref="FM33:FO33"/>
    <mergeCell ref="FP33:FR33"/>
    <mergeCell ref="FS33:FU33"/>
    <mergeCell ref="FV33:FX33"/>
    <mergeCell ref="GT33:GV33"/>
    <mergeCell ref="GW33:GY33"/>
    <mergeCell ref="GZ27:HB27"/>
    <mergeCell ref="HC27:HE27"/>
    <mergeCell ref="HC28:HE28"/>
    <mergeCell ref="HC29:HE29"/>
    <mergeCell ref="GE33:GG33"/>
    <mergeCell ref="GH33:GJ33"/>
    <mergeCell ref="GK33:GM33"/>
    <mergeCell ref="AL32:AL35"/>
    <mergeCell ref="AM32:AM35"/>
    <mergeCell ref="AE32:AE35"/>
    <mergeCell ref="AF32:AF35"/>
    <mergeCell ref="AG32:AG35"/>
    <mergeCell ref="AH32:AH35"/>
    <mergeCell ref="AI32:AI35"/>
    <mergeCell ref="AJ32:AJ35"/>
    <mergeCell ref="AK32:AK35"/>
    <mergeCell ref="BO40:BQ40"/>
    <mergeCell ref="BR40:BT40"/>
    <mergeCell ref="BO41:BQ41"/>
    <mergeCell ref="BR41:BT41"/>
    <mergeCell ref="BU41:BW41"/>
    <mergeCell ref="BU40:BW40"/>
    <mergeCell ref="BY40:CL40"/>
    <mergeCell ref="BY41:CL41"/>
    <mergeCell ref="CM40:CN40"/>
    <mergeCell ref="CO40:CP40"/>
    <mergeCell ref="CM41:CN41"/>
    <mergeCell ref="CO41:CP41"/>
    <mergeCell ref="C39:AQ39"/>
    <mergeCell ref="AS39:BW39"/>
    <mergeCell ref="BY39:CP39"/>
    <mergeCell ref="CR39:DJ39"/>
    <mergeCell ref="DL39:FD39"/>
    <mergeCell ref="AS40:BE40"/>
    <mergeCell ref="BF40:BH40"/>
    <mergeCell ref="BF42:BH42"/>
    <mergeCell ref="BI42:BK42"/>
    <mergeCell ref="BO42:BQ42"/>
    <mergeCell ref="BR42:BT42"/>
    <mergeCell ref="BU42:BW42"/>
    <mergeCell ref="BY42:CL42"/>
    <mergeCell ref="CM42:CN42"/>
    <mergeCell ref="CO42:CP42"/>
    <mergeCell ref="GE47:GG47"/>
    <mergeCell ref="GH47:GJ47"/>
    <mergeCell ref="GK47:GM47"/>
    <mergeCell ref="GN47:GP47"/>
    <mergeCell ref="GQ47:GS47"/>
    <mergeCell ref="GT47:GV47"/>
    <mergeCell ref="GW47:GY47"/>
    <mergeCell ref="FI47:FL47"/>
    <mergeCell ref="FM47:FO47"/>
    <mergeCell ref="FP47:FR47"/>
    <mergeCell ref="FS47:FU47"/>
    <mergeCell ref="FV47:FX47"/>
    <mergeCell ref="FY47:GA47"/>
    <mergeCell ref="GB47:GD47"/>
    <mergeCell ref="BL47:BN47"/>
    <mergeCell ref="BO47:BQ47"/>
    <mergeCell ref="AS48:BE48"/>
    <mergeCell ref="BF48:BH48"/>
    <mergeCell ref="BI48:BK48"/>
    <mergeCell ref="BL48:BN48"/>
    <mergeCell ref="BO48:BQ48"/>
    <mergeCell ref="BR47:BT47"/>
    <mergeCell ref="BU47:BW47"/>
    <mergeCell ref="BR48:BT48"/>
    <mergeCell ref="BU48:BW48"/>
    <mergeCell ref="BY48:CL48"/>
    <mergeCell ref="CM48:CN48"/>
    <mergeCell ref="CO48:CP48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S46:BE46"/>
    <mergeCell ref="BF46:BH46"/>
    <mergeCell ref="BI46:BK46"/>
    <mergeCell ref="BL46:BN46"/>
    <mergeCell ref="BO46:BQ46"/>
    <mergeCell ref="BR46:BT46"/>
    <mergeCell ref="CR46:DG46"/>
    <mergeCell ref="DH46:DJ46"/>
    <mergeCell ref="DL46:DW46"/>
    <mergeCell ref="DX46:DY46"/>
    <mergeCell ref="FE46:FG46"/>
    <mergeCell ref="FI46:FK46"/>
    <mergeCell ref="FM46:FO46"/>
    <mergeCell ref="GK46:GM46"/>
    <mergeCell ref="GN46:GP46"/>
    <mergeCell ref="GQ46:GS46"/>
    <mergeCell ref="GT46:GV46"/>
    <mergeCell ref="GW46:GY46"/>
    <mergeCell ref="GZ46:HB46"/>
    <mergeCell ref="HC46:HE46"/>
    <mergeCell ref="FP46:FR46"/>
    <mergeCell ref="FS46:FU46"/>
    <mergeCell ref="FV46:FX46"/>
    <mergeCell ref="FY46:GA46"/>
    <mergeCell ref="GB46:GD46"/>
    <mergeCell ref="GE46:GG46"/>
    <mergeCell ref="GH46:GJ46"/>
    <mergeCell ref="GB49:GD50"/>
    <mergeCell ref="GE49:GG50"/>
    <mergeCell ref="GH49:GJ50"/>
    <mergeCell ref="GK49:GM50"/>
    <mergeCell ref="GN49:GP50"/>
    <mergeCell ref="GQ49:GS50"/>
    <mergeCell ref="GT49:GV50"/>
    <mergeCell ref="GW49:GY50"/>
    <mergeCell ref="GZ49:HB50"/>
    <mergeCell ref="HC49:HE50"/>
    <mergeCell ref="FE48:FG48"/>
    <mergeCell ref="FI48:HE48"/>
    <mergeCell ref="FE49:FG49"/>
    <mergeCell ref="FI49:FL50"/>
    <mergeCell ref="FM49:FO50"/>
    <mergeCell ref="FP49:FR50"/>
    <mergeCell ref="FS49:FU50"/>
    <mergeCell ref="FE50:FG50"/>
    <mergeCell ref="GQ51:GS51"/>
    <mergeCell ref="GT51:GV51"/>
    <mergeCell ref="FV51:FX51"/>
    <mergeCell ref="FY51:GA51"/>
    <mergeCell ref="GB51:GD51"/>
    <mergeCell ref="GE51:GG51"/>
    <mergeCell ref="GH51:GJ51"/>
    <mergeCell ref="GK51:GM51"/>
    <mergeCell ref="GN51:GP51"/>
    <mergeCell ref="FI57:HE57"/>
    <mergeCell ref="FP52:FR52"/>
    <mergeCell ref="FS52:FU52"/>
    <mergeCell ref="FV52:FX52"/>
    <mergeCell ref="FY52:GA52"/>
    <mergeCell ref="FV49:FX50"/>
    <mergeCell ref="FY49:GA50"/>
    <mergeCell ref="FC50:FD50"/>
    <mergeCell ref="FI51:FL51"/>
    <mergeCell ref="FP51:FR51"/>
    <mergeCell ref="FS51:FU51"/>
    <mergeCell ref="FI52:FK52"/>
    <mergeCell ref="BU46:BW46"/>
    <mergeCell ref="BY46:CL46"/>
    <mergeCell ref="CM46:CN46"/>
    <mergeCell ref="CO46:CP46"/>
    <mergeCell ref="AS47:BE47"/>
    <mergeCell ref="BF47:BH47"/>
    <mergeCell ref="BI47:BK47"/>
    <mergeCell ref="CO47:CP47"/>
    <mergeCell ref="BY47:CL47"/>
    <mergeCell ref="CM47:CN47"/>
    <mergeCell ref="CR47:DG47"/>
    <mergeCell ref="DH47:DJ47"/>
    <mergeCell ref="DL47:DW47"/>
    <mergeCell ref="DX47:DY47"/>
    <mergeCell ref="FE47:FG47"/>
    <mergeCell ref="GZ47:HB47"/>
    <mergeCell ref="HC47:HE47"/>
    <mergeCell ref="GW51:GY51"/>
    <mergeCell ref="GZ51:HB51"/>
    <mergeCell ref="HC51:HE51"/>
    <mergeCell ref="DF48:DG48"/>
    <mergeCell ref="DH48:DJ48"/>
    <mergeCell ref="DL48:DW48"/>
    <mergeCell ref="DX48:DY48"/>
    <mergeCell ref="DL49:DW49"/>
    <mergeCell ref="DX49:DY49"/>
    <mergeCell ref="BY49:CL49"/>
    <mergeCell ref="CM49:CN49"/>
    <mergeCell ref="CO49:CP49"/>
    <mergeCell ref="GQ52:GS52"/>
    <mergeCell ref="GT52:GV52"/>
    <mergeCell ref="GW52:GY52"/>
    <mergeCell ref="GZ52:HB52"/>
    <mergeCell ref="HC52:HE52"/>
    <mergeCell ref="FM51:FO51"/>
    <mergeCell ref="FM52:FO52"/>
    <mergeCell ref="GB52:GD52"/>
    <mergeCell ref="GE52:GG52"/>
    <mergeCell ref="GH52:GJ52"/>
    <mergeCell ref="GK52:GM52"/>
    <mergeCell ref="GN52:GP52"/>
    <mergeCell ref="AS59:BE59"/>
    <mergeCell ref="BF59:BH59"/>
    <mergeCell ref="BI59:BK59"/>
    <mergeCell ref="BL59:BN59"/>
    <mergeCell ref="BO59:BQ59"/>
    <mergeCell ref="BR59:BT59"/>
    <mergeCell ref="BU59:BW59"/>
    <mergeCell ref="AS60:BE60"/>
    <mergeCell ref="BF60:BH60"/>
    <mergeCell ref="BI60:BK60"/>
    <mergeCell ref="BL60:BN60"/>
    <mergeCell ref="BO60:BQ60"/>
    <mergeCell ref="BR60:BT60"/>
    <mergeCell ref="BU60:BW60"/>
    <mergeCell ref="FI61:FL61"/>
    <mergeCell ref="FM61:FO61"/>
    <mergeCell ref="FB58:FB61"/>
    <mergeCell ref="FC58:FC61"/>
    <mergeCell ref="FE58:FG61"/>
    <mergeCell ref="FI58:FL59"/>
    <mergeCell ref="FM58:FO59"/>
    <mergeCell ref="FP58:FR59"/>
    <mergeCell ref="FS58:FU59"/>
    <mergeCell ref="EU58:EU61"/>
    <mergeCell ref="EV58:EV61"/>
    <mergeCell ref="EW58:EW61"/>
    <mergeCell ref="EX58:EX61"/>
    <mergeCell ref="EY58:EY61"/>
    <mergeCell ref="EZ58:EZ61"/>
    <mergeCell ref="FA58:FA61"/>
    <mergeCell ref="GQ58:GS59"/>
    <mergeCell ref="GT58:GV59"/>
    <mergeCell ref="GW58:GY59"/>
    <mergeCell ref="GZ58:HB59"/>
    <mergeCell ref="HC58:HE59"/>
    <mergeCell ref="FV58:FX59"/>
    <mergeCell ref="FY58:GA59"/>
    <mergeCell ref="GB58:GD59"/>
    <mergeCell ref="GE58:GG59"/>
    <mergeCell ref="GH58:GJ59"/>
    <mergeCell ref="GK58:GM59"/>
    <mergeCell ref="GN58:GP59"/>
    <mergeCell ref="FI60:FL60"/>
    <mergeCell ref="FM60:FO60"/>
    <mergeCell ref="GK60:GM60"/>
    <mergeCell ref="GN60:GP60"/>
    <mergeCell ref="GQ60:GS60"/>
    <mergeCell ref="GT60:GV60"/>
    <mergeCell ref="GW60:GY60"/>
    <mergeCell ref="GZ60:HB60"/>
    <mergeCell ref="HC60:HE60"/>
    <mergeCell ref="FP60:FR60"/>
    <mergeCell ref="FS60:FU60"/>
    <mergeCell ref="FV60:FX60"/>
    <mergeCell ref="FY60:GA60"/>
    <mergeCell ref="GB60:GD60"/>
    <mergeCell ref="GE60:GG60"/>
    <mergeCell ref="GH60:GJ60"/>
    <mergeCell ref="GK61:GM61"/>
    <mergeCell ref="GN61:GP61"/>
    <mergeCell ref="GQ61:GS61"/>
    <mergeCell ref="GT61:GV61"/>
    <mergeCell ref="GW61:GY61"/>
    <mergeCell ref="GZ61:HB61"/>
    <mergeCell ref="HC61:HE61"/>
    <mergeCell ref="FP61:FR61"/>
    <mergeCell ref="FS61:FU61"/>
    <mergeCell ref="FV61:FX61"/>
    <mergeCell ref="FY61:GA61"/>
    <mergeCell ref="GB61:GD61"/>
    <mergeCell ref="GE61:GG61"/>
    <mergeCell ref="GH61:GJ61"/>
    <mergeCell ref="FI65:FL65"/>
    <mergeCell ref="FI67:FL68"/>
    <mergeCell ref="FM67:FO68"/>
    <mergeCell ref="FP67:FR68"/>
    <mergeCell ref="FS67:FU68"/>
    <mergeCell ref="FV67:FX68"/>
    <mergeCell ref="FY67:GA68"/>
    <mergeCell ref="FC68:FD68"/>
    <mergeCell ref="FE68:FG68"/>
    <mergeCell ref="FI69:FL69"/>
    <mergeCell ref="FM69:FO69"/>
    <mergeCell ref="FP69:FR69"/>
    <mergeCell ref="FS69:FU69"/>
    <mergeCell ref="FV69:FX69"/>
    <mergeCell ref="GW65:GY65"/>
    <mergeCell ref="GZ65:HB65"/>
    <mergeCell ref="HC65:HE65"/>
    <mergeCell ref="GB65:GD65"/>
    <mergeCell ref="GE65:GG65"/>
    <mergeCell ref="GH65:GJ65"/>
    <mergeCell ref="GK65:GM65"/>
    <mergeCell ref="GN65:GP65"/>
    <mergeCell ref="GQ65:GS65"/>
    <mergeCell ref="GT65:GV65"/>
    <mergeCell ref="FE66:FG66"/>
    <mergeCell ref="FI66:HE66"/>
    <mergeCell ref="FE65:FG65"/>
    <mergeCell ref="FM65:FO65"/>
    <mergeCell ref="FP65:FR65"/>
    <mergeCell ref="FS65:FU65"/>
    <mergeCell ref="FV65:FX65"/>
    <mergeCell ref="FY65:GA65"/>
    <mergeCell ref="FE67:FG67"/>
    <mergeCell ref="GW67:GY68"/>
    <mergeCell ref="GZ67:HB68"/>
    <mergeCell ref="HC67:HE68"/>
    <mergeCell ref="GB67:GD68"/>
    <mergeCell ref="GE67:GG68"/>
    <mergeCell ref="GH67:GJ68"/>
    <mergeCell ref="GK67:GM68"/>
    <mergeCell ref="GN67:GP68"/>
    <mergeCell ref="GQ67:GS68"/>
    <mergeCell ref="GT67:GV68"/>
    <mergeCell ref="GT69:GV69"/>
    <mergeCell ref="GW69:GY69"/>
    <mergeCell ref="GZ69:HB69"/>
    <mergeCell ref="HC69:HE69"/>
    <mergeCell ref="FY69:GA69"/>
    <mergeCell ref="GB69:GD69"/>
    <mergeCell ref="GE69:GG69"/>
    <mergeCell ref="GH69:GJ69"/>
    <mergeCell ref="GK69:GM69"/>
    <mergeCell ref="GN69:GP69"/>
    <mergeCell ref="GQ69:GS69"/>
    <mergeCell ref="BY59:CL59"/>
    <mergeCell ref="CM59:CN59"/>
    <mergeCell ref="CR58:DG58"/>
    <mergeCell ref="CR59:DG59"/>
    <mergeCell ref="BY58:CL58"/>
    <mergeCell ref="BY60:CL60"/>
    <mergeCell ref="BY61:CL61"/>
    <mergeCell ref="CM60:CN60"/>
    <mergeCell ref="CO60:CP60"/>
    <mergeCell ref="CR60:DG60"/>
    <mergeCell ref="DH60:DJ60"/>
    <mergeCell ref="CM61:CN61"/>
    <mergeCell ref="CO61:CP61"/>
    <mergeCell ref="CR61:DG61"/>
    <mergeCell ref="DH61:DJ61"/>
    <mergeCell ref="CM58:CN58"/>
    <mergeCell ref="CO58:CP58"/>
    <mergeCell ref="DH58:DJ58"/>
    <mergeCell ref="DL58:DW61"/>
    <mergeCell ref="DX58:DY61"/>
    <mergeCell ref="CO59:CP59"/>
    <mergeCell ref="DH59:DJ59"/>
    <mergeCell ref="AS52:BE52"/>
    <mergeCell ref="AS53:BE53"/>
    <mergeCell ref="BF53:BH53"/>
    <mergeCell ref="AS57:BW57"/>
    <mergeCell ref="BY57:CP57"/>
    <mergeCell ref="CR57:DJ57"/>
    <mergeCell ref="DL57:FD57"/>
    <mergeCell ref="AS49:BE49"/>
    <mergeCell ref="BF49:BH49"/>
    <mergeCell ref="AS50:BE50"/>
    <mergeCell ref="BF50:BH50"/>
    <mergeCell ref="AS51:BE51"/>
    <mergeCell ref="BF51:BH51"/>
    <mergeCell ref="BF52:BH52"/>
    <mergeCell ref="DZ58:DZ61"/>
    <mergeCell ref="EA58:EA61"/>
    <mergeCell ref="EB58:EB61"/>
    <mergeCell ref="EC58:EC61"/>
    <mergeCell ref="ED58:ED61"/>
    <mergeCell ref="EE58:EE61"/>
    <mergeCell ref="EF58:EF61"/>
    <mergeCell ref="EG58:EG61"/>
    <mergeCell ref="EH58:EH61"/>
    <mergeCell ref="EI58:EI61"/>
    <mergeCell ref="EJ58:EJ61"/>
    <mergeCell ref="EK58:EK61"/>
    <mergeCell ref="EL58:EL61"/>
    <mergeCell ref="EM58:EM61"/>
    <mergeCell ref="AS58:BE58"/>
    <mergeCell ref="BF58:BH58"/>
    <mergeCell ref="BI58:BK58"/>
    <mergeCell ref="BL58:BN58"/>
    <mergeCell ref="BO58:BQ58"/>
    <mergeCell ref="BR58:BT58"/>
    <mergeCell ref="BU58:BW58"/>
    <mergeCell ref="BY62:CL62"/>
    <mergeCell ref="CM62:CN62"/>
    <mergeCell ref="CO62:CP62"/>
    <mergeCell ref="CR62:DG62"/>
    <mergeCell ref="DH62:DJ62"/>
    <mergeCell ref="DL62:DW62"/>
    <mergeCell ref="DX62:DY62"/>
    <mergeCell ref="EN58:EN61"/>
    <mergeCell ref="EO58:EO61"/>
    <mergeCell ref="EP58:EP61"/>
    <mergeCell ref="EQ58:EQ61"/>
    <mergeCell ref="ER58:ER61"/>
    <mergeCell ref="ES58:ES61"/>
    <mergeCell ref="ET58:ET61"/>
    <mergeCell ref="GW64:GY64"/>
    <mergeCell ref="GZ64:HB64"/>
    <mergeCell ref="GB64:GD64"/>
    <mergeCell ref="GE64:GG64"/>
    <mergeCell ref="GH64:GJ64"/>
    <mergeCell ref="GK64:GM64"/>
    <mergeCell ref="GN64:GP64"/>
    <mergeCell ref="GQ64:GS64"/>
    <mergeCell ref="GT64:GV64"/>
    <mergeCell ref="FI70:FK70"/>
    <mergeCell ref="FM70:FO70"/>
    <mergeCell ref="FP70:FR70"/>
    <mergeCell ref="FS70:FU70"/>
    <mergeCell ref="FV70:FX70"/>
    <mergeCell ref="FY70:GA70"/>
    <mergeCell ref="GB70:GD70"/>
    <mergeCell ref="GZ70:HB70"/>
    <mergeCell ref="HC70:HE70"/>
    <mergeCell ref="GE70:GG70"/>
    <mergeCell ref="GH70:GJ70"/>
    <mergeCell ref="GK70:GM70"/>
    <mergeCell ref="GN70:GP70"/>
    <mergeCell ref="GQ70:GS70"/>
    <mergeCell ref="GT70:GV70"/>
    <mergeCell ref="GW70:GY70"/>
    <mergeCell ref="GT62:GV62"/>
    <mergeCell ref="GW62:GY62"/>
    <mergeCell ref="GZ62:HB62"/>
    <mergeCell ref="HC62:HE62"/>
    <mergeCell ref="FY62:GA62"/>
    <mergeCell ref="GB62:GD62"/>
    <mergeCell ref="GE62:GG62"/>
    <mergeCell ref="GH62:GJ62"/>
    <mergeCell ref="GK62:GM62"/>
    <mergeCell ref="GN62:GP62"/>
    <mergeCell ref="GQ62:GS62"/>
    <mergeCell ref="FD58:FD61"/>
    <mergeCell ref="FE62:FG62"/>
    <mergeCell ref="FI62:FK62"/>
    <mergeCell ref="FM62:FO62"/>
    <mergeCell ref="FP62:FR62"/>
    <mergeCell ref="FS62:FU62"/>
    <mergeCell ref="FV62:FX62"/>
    <mergeCell ref="GW63:GY63"/>
    <mergeCell ref="GZ63:HB63"/>
    <mergeCell ref="HC63:HE63"/>
    <mergeCell ref="HC64:HE64"/>
    <mergeCell ref="GB63:GD63"/>
    <mergeCell ref="GE63:GG63"/>
    <mergeCell ref="GH63:GJ63"/>
    <mergeCell ref="GK63:GM63"/>
    <mergeCell ref="GN63:GP63"/>
    <mergeCell ref="GQ63:GS63"/>
    <mergeCell ref="GT63:GV63"/>
    <mergeCell ref="FE63:FG63"/>
    <mergeCell ref="FI63:FL63"/>
    <mergeCell ref="FM63:FO63"/>
    <mergeCell ref="FP63:FR63"/>
    <mergeCell ref="FS63:FU63"/>
    <mergeCell ref="FV63:FX63"/>
    <mergeCell ref="FY63:GA63"/>
    <mergeCell ref="FE64:FG64"/>
    <mergeCell ref="FI64:FK64"/>
    <mergeCell ref="FM64:FO64"/>
    <mergeCell ref="FP64:FR64"/>
    <mergeCell ref="FS64:FU64"/>
    <mergeCell ref="FV64:FX64"/>
    <mergeCell ref="FY64:GA64"/>
    <mergeCell ref="AS64:BE64"/>
    <mergeCell ref="BF64:BH64"/>
    <mergeCell ref="BI64:BK64"/>
    <mergeCell ref="BL64:BN64"/>
    <mergeCell ref="BO64:BQ64"/>
    <mergeCell ref="BR64:BT64"/>
    <mergeCell ref="BU64:BW64"/>
    <mergeCell ref="AS65:BE65"/>
    <mergeCell ref="BF65:BH65"/>
    <mergeCell ref="BI65:BK65"/>
    <mergeCell ref="BL65:BN65"/>
    <mergeCell ref="BO65:BQ65"/>
    <mergeCell ref="BR65:BT65"/>
    <mergeCell ref="BU65:BW65"/>
    <mergeCell ref="AS69:BE69"/>
    <mergeCell ref="BF69:BH69"/>
    <mergeCell ref="AS70:BE70"/>
    <mergeCell ref="BF70:BH70"/>
    <mergeCell ref="AS71:BE71"/>
    <mergeCell ref="BF71:BH71"/>
    <mergeCell ref="AS67:BE67"/>
    <mergeCell ref="BF67:BH67"/>
    <mergeCell ref="BY67:CL67"/>
    <mergeCell ref="CM67:CN67"/>
    <mergeCell ref="CO67:CP67"/>
    <mergeCell ref="AS68:BE68"/>
    <mergeCell ref="BF68:BH68"/>
    <mergeCell ref="BY65:CL65"/>
    <mergeCell ref="CM65:CN65"/>
    <mergeCell ref="CO65:CP65"/>
    <mergeCell ref="CR65:DG65"/>
    <mergeCell ref="DH65:DJ65"/>
    <mergeCell ref="DL65:DW65"/>
    <mergeCell ref="DX65:DY65"/>
    <mergeCell ref="BY66:CL66"/>
    <mergeCell ref="CM66:CN66"/>
    <mergeCell ref="CO66:CP66"/>
    <mergeCell ref="DF66:DG66"/>
    <mergeCell ref="DH66:DJ66"/>
    <mergeCell ref="DL66:DW66"/>
    <mergeCell ref="DX66:DY66"/>
    <mergeCell ref="AS61:BE61"/>
    <mergeCell ref="BF61:BH61"/>
    <mergeCell ref="BI61:BK61"/>
    <mergeCell ref="BL61:BN61"/>
    <mergeCell ref="BO61:BQ61"/>
    <mergeCell ref="BR61:BT61"/>
    <mergeCell ref="BU61:BW61"/>
    <mergeCell ref="AS62:BE62"/>
    <mergeCell ref="BF62:BH62"/>
    <mergeCell ref="BI62:BK62"/>
    <mergeCell ref="BL62:BN62"/>
    <mergeCell ref="BO62:BQ62"/>
    <mergeCell ref="BR62:BT62"/>
    <mergeCell ref="BU62:BW62"/>
    <mergeCell ref="BY63:CL63"/>
    <mergeCell ref="CM63:CN63"/>
    <mergeCell ref="CO63:CP63"/>
    <mergeCell ref="CR63:DG63"/>
    <mergeCell ref="DH63:DJ63"/>
    <mergeCell ref="DL63:DW63"/>
    <mergeCell ref="DX63:DY63"/>
    <mergeCell ref="AS63:BE63"/>
    <mergeCell ref="BF63:BH63"/>
    <mergeCell ref="BI63:BK63"/>
    <mergeCell ref="BL63:BN63"/>
    <mergeCell ref="BO63:BQ63"/>
    <mergeCell ref="BR63:BT63"/>
    <mergeCell ref="BU63:BW63"/>
    <mergeCell ref="BY64:CL64"/>
    <mergeCell ref="CM64:CN64"/>
    <mergeCell ref="CO64:CP64"/>
    <mergeCell ref="CR64:DG64"/>
    <mergeCell ref="DH64:DJ64"/>
    <mergeCell ref="DL64:DW64"/>
    <mergeCell ref="DX64:DY64"/>
    <mergeCell ref="AS66:BE66"/>
    <mergeCell ref="BF66:BH66"/>
    <mergeCell ref="BI66:BK66"/>
    <mergeCell ref="BL66:BN66"/>
    <mergeCell ref="BO66:BQ66"/>
    <mergeCell ref="BR66:BT66"/>
    <mergeCell ref="BU66:BW66"/>
    <mergeCell ref="DL67:DW67"/>
    <mergeCell ref="DX67:DY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75" width="2.63"/>
  </cols>
  <sheetData>
    <row r="1" ht="15.75" customHeight="1">
      <c r="A1" s="397"/>
      <c r="B1" s="398" t="s">
        <v>160</v>
      </c>
      <c r="AL1" s="399"/>
      <c r="AM1" s="400"/>
      <c r="AN1" s="398" t="s">
        <v>161</v>
      </c>
    </row>
    <row r="2" ht="15.75" customHeight="1">
      <c r="A2" s="401" t="s">
        <v>6</v>
      </c>
      <c r="B2" s="402" t="s">
        <v>8</v>
      </c>
      <c r="C2" s="403"/>
      <c r="D2" s="403"/>
      <c r="E2" s="404"/>
      <c r="F2" s="405">
        <v>44348.0</v>
      </c>
      <c r="G2" s="405">
        <v>44349.0</v>
      </c>
      <c r="H2" s="405">
        <v>44350.0</v>
      </c>
      <c r="I2" s="405">
        <v>44351.0</v>
      </c>
      <c r="J2" s="405">
        <v>44352.0</v>
      </c>
      <c r="K2" s="405">
        <v>44353.0</v>
      </c>
      <c r="L2" s="405">
        <v>44354.0</v>
      </c>
      <c r="M2" s="405">
        <v>44355.0</v>
      </c>
      <c r="N2" s="405">
        <v>44356.0</v>
      </c>
      <c r="O2" s="405">
        <v>44357.0</v>
      </c>
      <c r="P2" s="405">
        <v>44358.0</v>
      </c>
      <c r="Q2" s="405">
        <v>44359.0</v>
      </c>
      <c r="R2" s="405">
        <v>44360.0</v>
      </c>
      <c r="S2" s="405">
        <v>44361.0</v>
      </c>
      <c r="T2" s="405">
        <v>44362.0</v>
      </c>
      <c r="U2" s="405">
        <v>44363.0</v>
      </c>
      <c r="V2" s="405">
        <v>44364.0</v>
      </c>
      <c r="W2" s="405">
        <v>44365.0</v>
      </c>
      <c r="X2" s="405">
        <v>44366.0</v>
      </c>
      <c r="Y2" s="405">
        <v>44367.0</v>
      </c>
      <c r="Z2" s="405">
        <v>44368.0</v>
      </c>
      <c r="AA2" s="405">
        <v>44369.0</v>
      </c>
      <c r="AB2" s="405">
        <v>44370.0</v>
      </c>
      <c r="AC2" s="405">
        <v>44371.0</v>
      </c>
      <c r="AD2" s="405">
        <v>44372.0</v>
      </c>
      <c r="AE2" s="405">
        <v>44373.0</v>
      </c>
      <c r="AF2" s="405">
        <v>44374.0</v>
      </c>
      <c r="AG2" s="405">
        <v>44375.0</v>
      </c>
      <c r="AH2" s="405">
        <v>44376.0</v>
      </c>
      <c r="AI2" s="405">
        <v>44377.0</v>
      </c>
      <c r="AJ2" s="405">
        <v>44378.0</v>
      </c>
      <c r="AK2" s="406" t="s">
        <v>162</v>
      </c>
      <c r="AL2" s="407"/>
      <c r="AM2" s="408" t="s">
        <v>163</v>
      </c>
      <c r="AN2" s="402" t="s">
        <v>8</v>
      </c>
      <c r="AO2" s="403"/>
      <c r="AP2" s="403"/>
      <c r="AQ2" s="404"/>
      <c r="AR2" s="405">
        <v>44348.0</v>
      </c>
      <c r="AS2" s="405">
        <v>44349.0</v>
      </c>
      <c r="AT2" s="405">
        <v>44350.0</v>
      </c>
      <c r="AU2" s="405">
        <v>44351.0</v>
      </c>
      <c r="AV2" s="405">
        <v>44352.0</v>
      </c>
      <c r="AW2" s="405">
        <v>44353.0</v>
      </c>
      <c r="AX2" s="405">
        <v>44354.0</v>
      </c>
      <c r="AY2" s="405">
        <v>44355.0</v>
      </c>
      <c r="AZ2" s="405">
        <v>44356.0</v>
      </c>
      <c r="BA2" s="405">
        <v>44357.0</v>
      </c>
      <c r="BB2" s="405">
        <v>44358.0</v>
      </c>
      <c r="BC2" s="405">
        <v>44359.0</v>
      </c>
      <c r="BD2" s="405">
        <v>44360.0</v>
      </c>
      <c r="BE2" s="405">
        <v>44361.0</v>
      </c>
      <c r="BF2" s="405">
        <v>44362.0</v>
      </c>
      <c r="BG2" s="405">
        <v>44363.0</v>
      </c>
      <c r="BH2" s="405">
        <v>44364.0</v>
      </c>
      <c r="BI2" s="405">
        <v>44365.0</v>
      </c>
      <c r="BJ2" s="405">
        <v>44366.0</v>
      </c>
      <c r="BK2" s="405">
        <v>44367.0</v>
      </c>
      <c r="BL2" s="405">
        <v>44368.0</v>
      </c>
      <c r="BM2" s="405">
        <v>44369.0</v>
      </c>
      <c r="BN2" s="405">
        <v>44370.0</v>
      </c>
      <c r="BO2" s="405">
        <v>44371.0</v>
      </c>
      <c r="BP2" s="405">
        <v>44372.0</v>
      </c>
      <c r="BQ2" s="405">
        <v>44373.0</v>
      </c>
      <c r="BR2" s="405">
        <v>44374.0</v>
      </c>
      <c r="BS2" s="405">
        <v>44375.0</v>
      </c>
      <c r="BT2" s="405">
        <v>44376.0</v>
      </c>
      <c r="BU2" s="405">
        <v>44377.0</v>
      </c>
      <c r="BV2" s="405">
        <v>44378.0</v>
      </c>
      <c r="BW2" s="406" t="s">
        <v>162</v>
      </c>
    </row>
    <row r="3" ht="15.75" customHeight="1">
      <c r="B3" s="402" t="s">
        <v>164</v>
      </c>
      <c r="C3" s="403"/>
      <c r="D3" s="403"/>
      <c r="E3" s="404"/>
      <c r="F3" s="409" t="s">
        <v>165</v>
      </c>
      <c r="G3" s="409" t="s">
        <v>166</v>
      </c>
      <c r="H3" s="409" t="s">
        <v>167</v>
      </c>
      <c r="I3" s="409" t="s">
        <v>168</v>
      </c>
      <c r="J3" s="410" t="s">
        <v>169</v>
      </c>
      <c r="K3" s="410" t="s">
        <v>170</v>
      </c>
      <c r="L3" s="409" t="s">
        <v>171</v>
      </c>
      <c r="M3" s="409" t="s">
        <v>165</v>
      </c>
      <c r="N3" s="409" t="s">
        <v>166</v>
      </c>
      <c r="O3" s="409" t="s">
        <v>167</v>
      </c>
      <c r="P3" s="409" t="s">
        <v>168</v>
      </c>
      <c r="Q3" s="410" t="s">
        <v>169</v>
      </c>
      <c r="R3" s="410" t="s">
        <v>170</v>
      </c>
      <c r="S3" s="409" t="s">
        <v>171</v>
      </c>
      <c r="T3" s="409" t="s">
        <v>165</v>
      </c>
      <c r="U3" s="409" t="s">
        <v>166</v>
      </c>
      <c r="V3" s="409" t="s">
        <v>167</v>
      </c>
      <c r="W3" s="409" t="s">
        <v>168</v>
      </c>
      <c r="X3" s="410" t="s">
        <v>169</v>
      </c>
      <c r="Y3" s="410" t="s">
        <v>170</v>
      </c>
      <c r="Z3" s="409" t="s">
        <v>171</v>
      </c>
      <c r="AA3" s="409" t="s">
        <v>165</v>
      </c>
      <c r="AB3" s="409" t="s">
        <v>166</v>
      </c>
      <c r="AC3" s="409" t="s">
        <v>167</v>
      </c>
      <c r="AD3" s="409" t="s">
        <v>168</v>
      </c>
      <c r="AE3" s="410" t="s">
        <v>169</v>
      </c>
      <c r="AF3" s="410" t="s">
        <v>170</v>
      </c>
      <c r="AG3" s="409" t="s">
        <v>171</v>
      </c>
      <c r="AH3" s="409" t="s">
        <v>165</v>
      </c>
      <c r="AI3" s="409" t="s">
        <v>166</v>
      </c>
      <c r="AJ3" s="409" t="s">
        <v>167</v>
      </c>
      <c r="AL3" s="407"/>
      <c r="AN3" s="402" t="s">
        <v>164</v>
      </c>
      <c r="AO3" s="403"/>
      <c r="AP3" s="403"/>
      <c r="AQ3" s="404"/>
      <c r="AR3" s="409" t="s">
        <v>165</v>
      </c>
      <c r="AS3" s="409" t="s">
        <v>166</v>
      </c>
      <c r="AT3" s="409" t="s">
        <v>167</v>
      </c>
      <c r="AU3" s="409" t="s">
        <v>168</v>
      </c>
      <c r="AV3" s="410" t="s">
        <v>169</v>
      </c>
      <c r="AW3" s="410" t="s">
        <v>170</v>
      </c>
      <c r="AX3" s="409" t="s">
        <v>171</v>
      </c>
      <c r="AY3" s="409" t="s">
        <v>165</v>
      </c>
      <c r="AZ3" s="409" t="s">
        <v>166</v>
      </c>
      <c r="BA3" s="409" t="s">
        <v>167</v>
      </c>
      <c r="BB3" s="409" t="s">
        <v>168</v>
      </c>
      <c r="BC3" s="410" t="s">
        <v>169</v>
      </c>
      <c r="BD3" s="410" t="s">
        <v>170</v>
      </c>
      <c r="BE3" s="409" t="s">
        <v>171</v>
      </c>
      <c r="BF3" s="409" t="s">
        <v>165</v>
      </c>
      <c r="BG3" s="409" t="s">
        <v>166</v>
      </c>
      <c r="BH3" s="409" t="s">
        <v>167</v>
      </c>
      <c r="BI3" s="409" t="s">
        <v>168</v>
      </c>
      <c r="BJ3" s="410" t="s">
        <v>169</v>
      </c>
      <c r="BK3" s="410" t="s">
        <v>170</v>
      </c>
      <c r="BL3" s="409" t="s">
        <v>171</v>
      </c>
      <c r="BM3" s="409" t="s">
        <v>165</v>
      </c>
      <c r="BN3" s="409" t="s">
        <v>166</v>
      </c>
      <c r="BO3" s="409" t="s">
        <v>167</v>
      </c>
      <c r="BP3" s="409" t="s">
        <v>168</v>
      </c>
      <c r="BQ3" s="410" t="s">
        <v>169</v>
      </c>
      <c r="BR3" s="410" t="s">
        <v>170</v>
      </c>
      <c r="BS3" s="409" t="s">
        <v>171</v>
      </c>
      <c r="BT3" s="409" t="s">
        <v>165</v>
      </c>
      <c r="BU3" s="409" t="s">
        <v>166</v>
      </c>
      <c r="BV3" s="409" t="s">
        <v>167</v>
      </c>
    </row>
    <row r="4" ht="15.75" customHeight="1">
      <c r="B4" s="411" t="s">
        <v>160</v>
      </c>
      <c r="C4" s="403"/>
      <c r="D4" s="403"/>
      <c r="E4" s="404"/>
      <c r="F4" s="412">
        <v>1.0</v>
      </c>
      <c r="G4" s="412">
        <v>1.0</v>
      </c>
      <c r="H4" s="412">
        <v>1.0</v>
      </c>
      <c r="I4" s="412">
        <v>1.0</v>
      </c>
      <c r="J4" s="412"/>
      <c r="K4" s="412"/>
      <c r="L4" s="412">
        <v>1.0</v>
      </c>
      <c r="M4" s="412">
        <v>1.0</v>
      </c>
      <c r="N4" s="412">
        <v>1.0</v>
      </c>
      <c r="O4" s="412">
        <v>1.0</v>
      </c>
      <c r="P4" s="412">
        <v>1.0</v>
      </c>
      <c r="Q4" s="412"/>
      <c r="R4" s="412"/>
      <c r="S4" s="412">
        <v>1.0</v>
      </c>
      <c r="T4" s="412">
        <v>1.0</v>
      </c>
      <c r="U4" s="412">
        <v>1.0</v>
      </c>
      <c r="V4" s="412">
        <v>1.0</v>
      </c>
      <c r="W4" s="412">
        <v>1.0</v>
      </c>
      <c r="X4" s="412"/>
      <c r="Y4" s="412"/>
      <c r="Z4" s="412">
        <v>1.0</v>
      </c>
      <c r="AA4" s="412">
        <v>1.0</v>
      </c>
      <c r="AB4" s="412">
        <v>1.0</v>
      </c>
      <c r="AC4" s="412">
        <v>1.0</v>
      </c>
      <c r="AD4" s="412">
        <v>1.0</v>
      </c>
      <c r="AE4" s="412"/>
      <c r="AF4" s="412"/>
      <c r="AG4" s="412">
        <v>1.0</v>
      </c>
      <c r="AH4" s="412">
        <v>1.0</v>
      </c>
      <c r="AI4" s="412">
        <v>1.0</v>
      </c>
      <c r="AJ4" s="412">
        <v>1.0</v>
      </c>
      <c r="AK4" s="413">
        <f>SUM(F4:AJ4)</f>
        <v>23</v>
      </c>
      <c r="AL4" s="414"/>
      <c r="AN4" s="411" t="s">
        <v>161</v>
      </c>
      <c r="AO4" s="403"/>
      <c r="AP4" s="403"/>
      <c r="AQ4" s="404"/>
      <c r="AR4" s="412">
        <v>1.0</v>
      </c>
      <c r="AS4" s="412">
        <v>1.0</v>
      </c>
      <c r="AT4" s="412">
        <v>1.0</v>
      </c>
      <c r="AU4" s="412">
        <v>1.0</v>
      </c>
      <c r="AV4" s="412"/>
      <c r="AW4" s="412"/>
      <c r="AX4" s="412">
        <v>1.0</v>
      </c>
      <c r="AY4" s="412">
        <v>1.0</v>
      </c>
      <c r="AZ4" s="412">
        <v>1.0</v>
      </c>
      <c r="BA4" s="412">
        <v>1.0</v>
      </c>
      <c r="BB4" s="412">
        <v>1.0</v>
      </c>
      <c r="BC4" s="412"/>
      <c r="BD4" s="412"/>
      <c r="BE4" s="412">
        <v>1.0</v>
      </c>
      <c r="BF4" s="412">
        <v>1.0</v>
      </c>
      <c r="BG4" s="412">
        <v>1.0</v>
      </c>
      <c r="BH4" s="412">
        <v>1.0</v>
      </c>
      <c r="BI4" s="412">
        <v>1.0</v>
      </c>
      <c r="BJ4" s="412"/>
      <c r="BK4" s="412"/>
      <c r="BL4" s="412">
        <v>1.0</v>
      </c>
      <c r="BM4" s="412">
        <v>1.0</v>
      </c>
      <c r="BN4" s="412">
        <v>1.0</v>
      </c>
      <c r="BO4" s="412">
        <v>1.0</v>
      </c>
      <c r="BP4" s="412">
        <v>1.0</v>
      </c>
      <c r="BQ4" s="412"/>
      <c r="BR4" s="412"/>
      <c r="BS4" s="412">
        <v>1.0</v>
      </c>
      <c r="BT4" s="412">
        <v>1.0</v>
      </c>
      <c r="BU4" s="412">
        <v>1.0</v>
      </c>
      <c r="BV4" s="412">
        <v>1.0</v>
      </c>
      <c r="BW4" s="413">
        <f>SUM(AR4:BV4)</f>
        <v>23</v>
      </c>
    </row>
    <row r="5" ht="15.75" customHeight="1">
      <c r="A5" s="397"/>
      <c r="B5" s="400"/>
      <c r="AL5" s="415"/>
      <c r="AM5" s="400"/>
      <c r="AN5" s="400"/>
    </row>
    <row r="6" ht="15.75" customHeight="1">
      <c r="A6" s="401" t="s">
        <v>78</v>
      </c>
      <c r="B6" s="402" t="s">
        <v>8</v>
      </c>
      <c r="C6" s="403"/>
      <c r="D6" s="403"/>
      <c r="E6" s="404"/>
      <c r="F6" s="405">
        <v>44348.0</v>
      </c>
      <c r="G6" s="405">
        <v>44349.0</v>
      </c>
      <c r="H6" s="405">
        <v>44350.0</v>
      </c>
      <c r="I6" s="405">
        <v>44351.0</v>
      </c>
      <c r="J6" s="405">
        <v>44352.0</v>
      </c>
      <c r="K6" s="405">
        <v>44353.0</v>
      </c>
      <c r="L6" s="405">
        <v>44354.0</v>
      </c>
      <c r="M6" s="405">
        <v>44355.0</v>
      </c>
      <c r="N6" s="405">
        <v>44356.0</v>
      </c>
      <c r="O6" s="405">
        <v>44357.0</v>
      </c>
      <c r="P6" s="405">
        <v>44358.0</v>
      </c>
      <c r="Q6" s="405">
        <v>44359.0</v>
      </c>
      <c r="R6" s="405">
        <v>44360.0</v>
      </c>
      <c r="S6" s="405">
        <v>44361.0</v>
      </c>
      <c r="T6" s="405">
        <v>44362.0</v>
      </c>
      <c r="U6" s="405">
        <v>44363.0</v>
      </c>
      <c r="V6" s="405">
        <v>44364.0</v>
      </c>
      <c r="W6" s="405">
        <v>44365.0</v>
      </c>
      <c r="X6" s="405">
        <v>44366.0</v>
      </c>
      <c r="Y6" s="405">
        <v>44367.0</v>
      </c>
      <c r="Z6" s="405">
        <v>44368.0</v>
      </c>
      <c r="AA6" s="405">
        <v>44369.0</v>
      </c>
      <c r="AB6" s="405">
        <v>44370.0</v>
      </c>
      <c r="AC6" s="405">
        <v>44371.0</v>
      </c>
      <c r="AD6" s="405">
        <v>44372.0</v>
      </c>
      <c r="AE6" s="405">
        <v>44373.0</v>
      </c>
      <c r="AF6" s="405">
        <v>44374.0</v>
      </c>
      <c r="AG6" s="405">
        <v>44375.0</v>
      </c>
      <c r="AH6" s="405">
        <v>44376.0</v>
      </c>
      <c r="AI6" s="405">
        <v>44377.0</v>
      </c>
      <c r="AJ6" s="405">
        <v>44378.0</v>
      </c>
      <c r="AK6" s="406" t="s">
        <v>162</v>
      </c>
      <c r="AL6" s="407"/>
      <c r="AM6" s="408" t="s">
        <v>127</v>
      </c>
      <c r="AN6" s="402" t="s">
        <v>8</v>
      </c>
      <c r="AO6" s="403"/>
      <c r="AP6" s="403"/>
      <c r="AQ6" s="404"/>
      <c r="AR6" s="405">
        <v>44348.0</v>
      </c>
      <c r="AS6" s="405">
        <v>44349.0</v>
      </c>
      <c r="AT6" s="405">
        <v>44350.0</v>
      </c>
      <c r="AU6" s="405">
        <v>44351.0</v>
      </c>
      <c r="AV6" s="405">
        <v>44352.0</v>
      </c>
      <c r="AW6" s="405">
        <v>44353.0</v>
      </c>
      <c r="AX6" s="405">
        <v>44354.0</v>
      </c>
      <c r="AY6" s="405">
        <v>44355.0</v>
      </c>
      <c r="AZ6" s="405">
        <v>44356.0</v>
      </c>
      <c r="BA6" s="405">
        <v>44357.0</v>
      </c>
      <c r="BB6" s="405">
        <v>44358.0</v>
      </c>
      <c r="BC6" s="405">
        <v>44359.0</v>
      </c>
      <c r="BD6" s="405">
        <v>44360.0</v>
      </c>
      <c r="BE6" s="405">
        <v>44361.0</v>
      </c>
      <c r="BF6" s="405">
        <v>44362.0</v>
      </c>
      <c r="BG6" s="405">
        <v>44363.0</v>
      </c>
      <c r="BH6" s="405">
        <v>44364.0</v>
      </c>
      <c r="BI6" s="405">
        <v>44365.0</v>
      </c>
      <c r="BJ6" s="405">
        <v>44366.0</v>
      </c>
      <c r="BK6" s="405">
        <v>44367.0</v>
      </c>
      <c r="BL6" s="405">
        <v>44368.0</v>
      </c>
      <c r="BM6" s="405">
        <v>44369.0</v>
      </c>
      <c r="BN6" s="405">
        <v>44370.0</v>
      </c>
      <c r="BO6" s="405">
        <v>44371.0</v>
      </c>
      <c r="BP6" s="405">
        <v>44372.0</v>
      </c>
      <c r="BQ6" s="405">
        <v>44373.0</v>
      </c>
      <c r="BR6" s="405">
        <v>44374.0</v>
      </c>
      <c r="BS6" s="405">
        <v>44375.0</v>
      </c>
      <c r="BT6" s="405">
        <v>44376.0</v>
      </c>
      <c r="BU6" s="405">
        <v>44377.0</v>
      </c>
      <c r="BV6" s="405">
        <v>44378.0</v>
      </c>
      <c r="BW6" s="406" t="s">
        <v>162</v>
      </c>
    </row>
    <row r="7" ht="15.75" customHeight="1">
      <c r="B7" s="402" t="s">
        <v>164</v>
      </c>
      <c r="C7" s="403"/>
      <c r="D7" s="403"/>
      <c r="E7" s="404"/>
      <c r="F7" s="409" t="s">
        <v>165</v>
      </c>
      <c r="G7" s="409" t="s">
        <v>166</v>
      </c>
      <c r="H7" s="409" t="s">
        <v>167</v>
      </c>
      <c r="I7" s="409" t="s">
        <v>168</v>
      </c>
      <c r="J7" s="410" t="s">
        <v>169</v>
      </c>
      <c r="K7" s="410" t="s">
        <v>170</v>
      </c>
      <c r="L7" s="409" t="s">
        <v>171</v>
      </c>
      <c r="M7" s="409" t="s">
        <v>165</v>
      </c>
      <c r="N7" s="409" t="s">
        <v>166</v>
      </c>
      <c r="O7" s="409" t="s">
        <v>167</v>
      </c>
      <c r="P7" s="409" t="s">
        <v>168</v>
      </c>
      <c r="Q7" s="410" t="s">
        <v>169</v>
      </c>
      <c r="R7" s="410" t="s">
        <v>170</v>
      </c>
      <c r="S7" s="409" t="s">
        <v>171</v>
      </c>
      <c r="T7" s="409" t="s">
        <v>165</v>
      </c>
      <c r="U7" s="409" t="s">
        <v>166</v>
      </c>
      <c r="V7" s="409" t="s">
        <v>167</v>
      </c>
      <c r="W7" s="409" t="s">
        <v>168</v>
      </c>
      <c r="X7" s="410" t="s">
        <v>169</v>
      </c>
      <c r="Y7" s="410" t="s">
        <v>170</v>
      </c>
      <c r="Z7" s="409" t="s">
        <v>171</v>
      </c>
      <c r="AA7" s="409" t="s">
        <v>165</v>
      </c>
      <c r="AB7" s="409" t="s">
        <v>166</v>
      </c>
      <c r="AC7" s="409" t="s">
        <v>167</v>
      </c>
      <c r="AD7" s="409" t="s">
        <v>168</v>
      </c>
      <c r="AE7" s="410" t="s">
        <v>169</v>
      </c>
      <c r="AF7" s="410" t="s">
        <v>170</v>
      </c>
      <c r="AG7" s="409" t="s">
        <v>171</v>
      </c>
      <c r="AH7" s="409" t="s">
        <v>165</v>
      </c>
      <c r="AI7" s="409" t="s">
        <v>166</v>
      </c>
      <c r="AJ7" s="409" t="s">
        <v>167</v>
      </c>
      <c r="AL7" s="407"/>
      <c r="AN7" s="402" t="s">
        <v>164</v>
      </c>
      <c r="AO7" s="403"/>
      <c r="AP7" s="403"/>
      <c r="AQ7" s="404"/>
      <c r="AR7" s="409" t="s">
        <v>165</v>
      </c>
      <c r="AS7" s="409" t="s">
        <v>166</v>
      </c>
      <c r="AT7" s="409" t="s">
        <v>167</v>
      </c>
      <c r="AU7" s="409" t="s">
        <v>168</v>
      </c>
      <c r="AV7" s="410" t="s">
        <v>169</v>
      </c>
      <c r="AW7" s="410" t="s">
        <v>170</v>
      </c>
      <c r="AX7" s="409" t="s">
        <v>171</v>
      </c>
      <c r="AY7" s="409" t="s">
        <v>165</v>
      </c>
      <c r="AZ7" s="409" t="s">
        <v>166</v>
      </c>
      <c r="BA7" s="409" t="s">
        <v>167</v>
      </c>
      <c r="BB7" s="409" t="s">
        <v>168</v>
      </c>
      <c r="BC7" s="410" t="s">
        <v>169</v>
      </c>
      <c r="BD7" s="410" t="s">
        <v>170</v>
      </c>
      <c r="BE7" s="409" t="s">
        <v>171</v>
      </c>
      <c r="BF7" s="409" t="s">
        <v>165</v>
      </c>
      <c r="BG7" s="409" t="s">
        <v>166</v>
      </c>
      <c r="BH7" s="409" t="s">
        <v>167</v>
      </c>
      <c r="BI7" s="409" t="s">
        <v>168</v>
      </c>
      <c r="BJ7" s="410" t="s">
        <v>169</v>
      </c>
      <c r="BK7" s="410" t="s">
        <v>170</v>
      </c>
      <c r="BL7" s="409" t="s">
        <v>171</v>
      </c>
      <c r="BM7" s="409" t="s">
        <v>165</v>
      </c>
      <c r="BN7" s="409" t="s">
        <v>166</v>
      </c>
      <c r="BO7" s="409" t="s">
        <v>167</v>
      </c>
      <c r="BP7" s="409" t="s">
        <v>168</v>
      </c>
      <c r="BQ7" s="410" t="s">
        <v>169</v>
      </c>
      <c r="BR7" s="410" t="s">
        <v>170</v>
      </c>
      <c r="BS7" s="409" t="s">
        <v>171</v>
      </c>
      <c r="BT7" s="409" t="s">
        <v>165</v>
      </c>
      <c r="BU7" s="409" t="s">
        <v>166</v>
      </c>
      <c r="BV7" s="409" t="s">
        <v>167</v>
      </c>
    </row>
    <row r="8" ht="15.75" customHeight="1">
      <c r="B8" s="411" t="s">
        <v>160</v>
      </c>
      <c r="C8" s="403"/>
      <c r="D8" s="403"/>
      <c r="E8" s="404"/>
      <c r="F8" s="412">
        <v>1.0</v>
      </c>
      <c r="G8" s="412">
        <v>1.0</v>
      </c>
      <c r="H8" s="412">
        <v>1.0</v>
      </c>
      <c r="I8" s="412">
        <v>1.0</v>
      </c>
      <c r="J8" s="412"/>
      <c r="K8" s="412"/>
      <c r="L8" s="412">
        <v>1.0</v>
      </c>
      <c r="M8" s="412">
        <v>1.0</v>
      </c>
      <c r="N8" s="412">
        <v>1.0</v>
      </c>
      <c r="O8" s="412">
        <v>1.0</v>
      </c>
      <c r="P8" s="412">
        <v>1.0</v>
      </c>
      <c r="Q8" s="412"/>
      <c r="R8" s="412"/>
      <c r="S8" s="412">
        <v>1.0</v>
      </c>
      <c r="T8" s="412">
        <v>1.0</v>
      </c>
      <c r="U8" s="412">
        <v>1.0</v>
      </c>
      <c r="V8" s="412">
        <v>1.0</v>
      </c>
      <c r="W8" s="412">
        <v>1.0</v>
      </c>
      <c r="X8" s="412"/>
      <c r="Y8" s="412"/>
      <c r="Z8" s="412">
        <v>1.0</v>
      </c>
      <c r="AA8" s="412">
        <v>1.0</v>
      </c>
      <c r="AB8" s="412">
        <v>1.0</v>
      </c>
      <c r="AC8" s="412">
        <v>1.0</v>
      </c>
      <c r="AD8" s="412">
        <v>1.0</v>
      </c>
      <c r="AE8" s="412"/>
      <c r="AF8" s="412"/>
      <c r="AG8" s="412">
        <v>1.0</v>
      </c>
      <c r="AH8" s="412">
        <v>1.0</v>
      </c>
      <c r="AI8" s="412">
        <v>1.0</v>
      </c>
      <c r="AJ8" s="412">
        <v>1.0</v>
      </c>
      <c r="AK8" s="413">
        <f>SUM(F8:AJ8)</f>
        <v>23</v>
      </c>
      <c r="AL8" s="414"/>
      <c r="AN8" s="411" t="s">
        <v>161</v>
      </c>
      <c r="AO8" s="403"/>
      <c r="AP8" s="403"/>
      <c r="AQ8" s="404"/>
      <c r="AR8" s="412">
        <v>1.0</v>
      </c>
      <c r="AS8" s="412">
        <v>1.0</v>
      </c>
      <c r="AT8" s="412">
        <v>1.0</v>
      </c>
      <c r="AU8" s="412">
        <v>1.0</v>
      </c>
      <c r="AV8" s="412"/>
      <c r="AW8" s="412"/>
      <c r="AX8" s="412">
        <v>1.0</v>
      </c>
      <c r="AY8" s="412">
        <v>1.0</v>
      </c>
      <c r="AZ8" s="412">
        <v>1.0</v>
      </c>
      <c r="BA8" s="412">
        <v>1.0</v>
      </c>
      <c r="BB8" s="412">
        <v>1.0</v>
      </c>
      <c r="BC8" s="412"/>
      <c r="BD8" s="412"/>
      <c r="BE8" s="412">
        <v>1.0</v>
      </c>
      <c r="BF8" s="412">
        <v>1.0</v>
      </c>
      <c r="BG8" s="412">
        <v>1.0</v>
      </c>
      <c r="BH8" s="412">
        <v>1.0</v>
      </c>
      <c r="BI8" s="412">
        <v>1.0</v>
      </c>
      <c r="BJ8" s="412"/>
      <c r="BK8" s="412"/>
      <c r="BL8" s="412">
        <v>1.0</v>
      </c>
      <c r="BM8" s="412">
        <v>1.0</v>
      </c>
      <c r="BN8" s="412">
        <v>1.0</v>
      </c>
      <c r="BO8" s="412">
        <v>1.0</v>
      </c>
      <c r="BP8" s="412">
        <v>1.0</v>
      </c>
      <c r="BQ8" s="412"/>
      <c r="BR8" s="412"/>
      <c r="BS8" s="412">
        <v>1.0</v>
      </c>
      <c r="BT8" s="412">
        <v>1.0</v>
      </c>
      <c r="BU8" s="412">
        <v>1.0</v>
      </c>
      <c r="BV8" s="412">
        <v>1.0</v>
      </c>
      <c r="BW8" s="413">
        <f>SUM(AR8:BV8)</f>
        <v>23</v>
      </c>
    </row>
    <row r="9" ht="15.75" customHeight="1">
      <c r="A9" s="397"/>
      <c r="B9" s="400"/>
      <c r="AL9" s="415"/>
      <c r="AM9" s="400"/>
      <c r="AN9" s="400"/>
    </row>
    <row r="10" ht="15.75" customHeight="1">
      <c r="A10" s="401" t="s">
        <v>88</v>
      </c>
      <c r="B10" s="402" t="s">
        <v>8</v>
      </c>
      <c r="C10" s="403"/>
      <c r="D10" s="403"/>
      <c r="E10" s="404"/>
      <c r="F10" s="405">
        <v>44348.0</v>
      </c>
      <c r="G10" s="405">
        <v>44349.0</v>
      </c>
      <c r="H10" s="405">
        <v>44350.0</v>
      </c>
      <c r="I10" s="405">
        <v>44351.0</v>
      </c>
      <c r="J10" s="405">
        <v>44352.0</v>
      </c>
      <c r="K10" s="405">
        <v>44353.0</v>
      </c>
      <c r="L10" s="405">
        <v>44354.0</v>
      </c>
      <c r="M10" s="405">
        <v>44355.0</v>
      </c>
      <c r="N10" s="405">
        <v>44356.0</v>
      </c>
      <c r="O10" s="405">
        <v>44357.0</v>
      </c>
      <c r="P10" s="405">
        <v>44358.0</v>
      </c>
      <c r="Q10" s="405">
        <v>44359.0</v>
      </c>
      <c r="R10" s="405">
        <v>44360.0</v>
      </c>
      <c r="S10" s="405">
        <v>44361.0</v>
      </c>
      <c r="T10" s="405">
        <v>44362.0</v>
      </c>
      <c r="U10" s="405">
        <v>44363.0</v>
      </c>
      <c r="V10" s="405">
        <v>44364.0</v>
      </c>
      <c r="W10" s="405">
        <v>44365.0</v>
      </c>
      <c r="X10" s="405">
        <v>44366.0</v>
      </c>
      <c r="Y10" s="405">
        <v>44367.0</v>
      </c>
      <c r="Z10" s="405">
        <v>44368.0</v>
      </c>
      <c r="AA10" s="405">
        <v>44369.0</v>
      </c>
      <c r="AB10" s="405">
        <v>44370.0</v>
      </c>
      <c r="AC10" s="405">
        <v>44371.0</v>
      </c>
      <c r="AD10" s="405">
        <v>44372.0</v>
      </c>
      <c r="AE10" s="405">
        <v>44373.0</v>
      </c>
      <c r="AF10" s="405">
        <v>44374.0</v>
      </c>
      <c r="AG10" s="405">
        <v>44375.0</v>
      </c>
      <c r="AH10" s="405">
        <v>44376.0</v>
      </c>
      <c r="AI10" s="405">
        <v>44377.0</v>
      </c>
      <c r="AJ10" s="405">
        <v>44378.0</v>
      </c>
      <c r="AK10" s="406" t="s">
        <v>162</v>
      </c>
      <c r="AL10" s="407"/>
      <c r="AM10" s="408" t="s">
        <v>140</v>
      </c>
      <c r="AN10" s="402" t="s">
        <v>8</v>
      </c>
      <c r="AO10" s="403"/>
      <c r="AP10" s="403"/>
      <c r="AQ10" s="404"/>
      <c r="AR10" s="405">
        <v>44348.0</v>
      </c>
      <c r="AS10" s="405">
        <v>44349.0</v>
      </c>
      <c r="AT10" s="405">
        <v>44350.0</v>
      </c>
      <c r="AU10" s="405">
        <v>44351.0</v>
      </c>
      <c r="AV10" s="405">
        <v>44352.0</v>
      </c>
      <c r="AW10" s="405">
        <v>44353.0</v>
      </c>
      <c r="AX10" s="405">
        <v>44354.0</v>
      </c>
      <c r="AY10" s="405">
        <v>44355.0</v>
      </c>
      <c r="AZ10" s="405">
        <v>44356.0</v>
      </c>
      <c r="BA10" s="405">
        <v>44357.0</v>
      </c>
      <c r="BB10" s="405">
        <v>44358.0</v>
      </c>
      <c r="BC10" s="405">
        <v>44359.0</v>
      </c>
      <c r="BD10" s="405">
        <v>44360.0</v>
      </c>
      <c r="BE10" s="405">
        <v>44361.0</v>
      </c>
      <c r="BF10" s="405">
        <v>44362.0</v>
      </c>
      <c r="BG10" s="405">
        <v>44363.0</v>
      </c>
      <c r="BH10" s="405">
        <v>44364.0</v>
      </c>
      <c r="BI10" s="405">
        <v>44365.0</v>
      </c>
      <c r="BJ10" s="405">
        <v>44366.0</v>
      </c>
      <c r="BK10" s="405">
        <v>44367.0</v>
      </c>
      <c r="BL10" s="405">
        <v>44368.0</v>
      </c>
      <c r="BM10" s="405">
        <v>44369.0</v>
      </c>
      <c r="BN10" s="405">
        <v>44370.0</v>
      </c>
      <c r="BO10" s="405">
        <v>44371.0</v>
      </c>
      <c r="BP10" s="405">
        <v>44372.0</v>
      </c>
      <c r="BQ10" s="405">
        <v>44373.0</v>
      </c>
      <c r="BR10" s="405">
        <v>44374.0</v>
      </c>
      <c r="BS10" s="405">
        <v>44375.0</v>
      </c>
      <c r="BT10" s="405">
        <v>44376.0</v>
      </c>
      <c r="BU10" s="405">
        <v>44377.0</v>
      </c>
      <c r="BV10" s="405">
        <v>44378.0</v>
      </c>
      <c r="BW10" s="406" t="s">
        <v>162</v>
      </c>
    </row>
    <row r="11" ht="15.75" customHeight="1">
      <c r="B11" s="402" t="s">
        <v>164</v>
      </c>
      <c r="C11" s="403"/>
      <c r="D11" s="403"/>
      <c r="E11" s="404"/>
      <c r="F11" s="409" t="s">
        <v>165</v>
      </c>
      <c r="G11" s="409" t="s">
        <v>166</v>
      </c>
      <c r="H11" s="409" t="s">
        <v>167</v>
      </c>
      <c r="I11" s="409" t="s">
        <v>168</v>
      </c>
      <c r="J11" s="410" t="s">
        <v>169</v>
      </c>
      <c r="K11" s="410" t="s">
        <v>170</v>
      </c>
      <c r="L11" s="409" t="s">
        <v>171</v>
      </c>
      <c r="M11" s="409" t="s">
        <v>165</v>
      </c>
      <c r="N11" s="409" t="s">
        <v>166</v>
      </c>
      <c r="O11" s="409" t="s">
        <v>167</v>
      </c>
      <c r="P11" s="409" t="s">
        <v>168</v>
      </c>
      <c r="Q11" s="410" t="s">
        <v>169</v>
      </c>
      <c r="R11" s="410" t="s">
        <v>170</v>
      </c>
      <c r="S11" s="409" t="s">
        <v>171</v>
      </c>
      <c r="T11" s="409" t="s">
        <v>165</v>
      </c>
      <c r="U11" s="409" t="s">
        <v>166</v>
      </c>
      <c r="V11" s="409" t="s">
        <v>167</v>
      </c>
      <c r="W11" s="409" t="s">
        <v>168</v>
      </c>
      <c r="X11" s="410" t="s">
        <v>169</v>
      </c>
      <c r="Y11" s="410" t="s">
        <v>170</v>
      </c>
      <c r="Z11" s="409" t="s">
        <v>171</v>
      </c>
      <c r="AA11" s="409" t="s">
        <v>165</v>
      </c>
      <c r="AB11" s="409" t="s">
        <v>166</v>
      </c>
      <c r="AC11" s="409" t="s">
        <v>167</v>
      </c>
      <c r="AD11" s="409" t="s">
        <v>168</v>
      </c>
      <c r="AE11" s="410" t="s">
        <v>169</v>
      </c>
      <c r="AF11" s="410" t="s">
        <v>170</v>
      </c>
      <c r="AG11" s="409" t="s">
        <v>171</v>
      </c>
      <c r="AH11" s="409" t="s">
        <v>165</v>
      </c>
      <c r="AI11" s="409" t="s">
        <v>166</v>
      </c>
      <c r="AJ11" s="409" t="s">
        <v>167</v>
      </c>
      <c r="AL11" s="407"/>
      <c r="AN11" s="402" t="s">
        <v>164</v>
      </c>
      <c r="AO11" s="403"/>
      <c r="AP11" s="403"/>
      <c r="AQ11" s="404"/>
      <c r="AR11" s="409" t="s">
        <v>165</v>
      </c>
      <c r="AS11" s="409" t="s">
        <v>166</v>
      </c>
      <c r="AT11" s="409" t="s">
        <v>167</v>
      </c>
      <c r="AU11" s="409" t="s">
        <v>168</v>
      </c>
      <c r="AV11" s="410" t="s">
        <v>169</v>
      </c>
      <c r="AW11" s="410" t="s">
        <v>170</v>
      </c>
      <c r="AX11" s="409" t="s">
        <v>171</v>
      </c>
      <c r="AY11" s="409" t="s">
        <v>165</v>
      </c>
      <c r="AZ11" s="409" t="s">
        <v>166</v>
      </c>
      <c r="BA11" s="409" t="s">
        <v>167</v>
      </c>
      <c r="BB11" s="409" t="s">
        <v>168</v>
      </c>
      <c r="BC11" s="410" t="s">
        <v>169</v>
      </c>
      <c r="BD11" s="410" t="s">
        <v>170</v>
      </c>
      <c r="BE11" s="409" t="s">
        <v>171</v>
      </c>
      <c r="BF11" s="409" t="s">
        <v>165</v>
      </c>
      <c r="BG11" s="409" t="s">
        <v>166</v>
      </c>
      <c r="BH11" s="409" t="s">
        <v>167</v>
      </c>
      <c r="BI11" s="409" t="s">
        <v>168</v>
      </c>
      <c r="BJ11" s="410" t="s">
        <v>169</v>
      </c>
      <c r="BK11" s="410" t="s">
        <v>170</v>
      </c>
      <c r="BL11" s="409" t="s">
        <v>171</v>
      </c>
      <c r="BM11" s="409" t="s">
        <v>165</v>
      </c>
      <c r="BN11" s="409" t="s">
        <v>166</v>
      </c>
      <c r="BO11" s="409" t="s">
        <v>167</v>
      </c>
      <c r="BP11" s="409" t="s">
        <v>168</v>
      </c>
      <c r="BQ11" s="410" t="s">
        <v>169</v>
      </c>
      <c r="BR11" s="410" t="s">
        <v>170</v>
      </c>
      <c r="BS11" s="409" t="s">
        <v>171</v>
      </c>
      <c r="BT11" s="409" t="s">
        <v>165</v>
      </c>
      <c r="BU11" s="409" t="s">
        <v>166</v>
      </c>
      <c r="BV11" s="409" t="s">
        <v>167</v>
      </c>
    </row>
    <row r="12" ht="15.75" customHeight="1">
      <c r="B12" s="411" t="s">
        <v>160</v>
      </c>
      <c r="C12" s="403"/>
      <c r="D12" s="403"/>
      <c r="E12" s="404"/>
      <c r="F12" s="412">
        <v>1.0</v>
      </c>
      <c r="G12" s="412">
        <v>1.0</v>
      </c>
      <c r="H12" s="412">
        <v>1.0</v>
      </c>
      <c r="I12" s="412">
        <v>1.0</v>
      </c>
      <c r="J12" s="412"/>
      <c r="K12" s="412"/>
      <c r="L12" s="412">
        <v>1.0</v>
      </c>
      <c r="M12" s="412">
        <v>1.0</v>
      </c>
      <c r="N12" s="412">
        <v>1.0</v>
      </c>
      <c r="O12" s="412">
        <v>1.0</v>
      </c>
      <c r="P12" s="412">
        <v>1.0</v>
      </c>
      <c r="Q12" s="412"/>
      <c r="R12" s="412"/>
      <c r="S12" s="412">
        <v>1.0</v>
      </c>
      <c r="T12" s="412">
        <v>1.0</v>
      </c>
      <c r="U12" s="412">
        <v>1.0</v>
      </c>
      <c r="V12" s="412">
        <v>1.0</v>
      </c>
      <c r="W12" s="412">
        <v>1.0</v>
      </c>
      <c r="X12" s="412"/>
      <c r="Y12" s="412"/>
      <c r="Z12" s="412">
        <v>1.0</v>
      </c>
      <c r="AA12" s="412">
        <v>1.0</v>
      </c>
      <c r="AB12" s="412">
        <v>1.0</v>
      </c>
      <c r="AC12" s="412">
        <v>1.0</v>
      </c>
      <c r="AD12" s="412">
        <v>1.0</v>
      </c>
      <c r="AE12" s="412"/>
      <c r="AF12" s="412"/>
      <c r="AG12" s="412">
        <v>1.0</v>
      </c>
      <c r="AH12" s="412">
        <v>1.0</v>
      </c>
      <c r="AI12" s="412">
        <v>1.0</v>
      </c>
      <c r="AJ12" s="412">
        <v>1.0</v>
      </c>
      <c r="AK12" s="413">
        <f>SUM(F12:AJ12)</f>
        <v>23</v>
      </c>
      <c r="AL12" s="414"/>
      <c r="AN12" s="411" t="s">
        <v>161</v>
      </c>
      <c r="AO12" s="403"/>
      <c r="AP12" s="403"/>
      <c r="AQ12" s="404"/>
      <c r="AR12" s="412">
        <v>1.0</v>
      </c>
      <c r="AS12" s="412">
        <v>1.0</v>
      </c>
      <c r="AT12" s="412">
        <v>1.0</v>
      </c>
      <c r="AU12" s="412">
        <v>1.0</v>
      </c>
      <c r="AV12" s="412"/>
      <c r="AW12" s="412"/>
      <c r="AX12" s="412">
        <v>1.0</v>
      </c>
      <c r="AY12" s="412">
        <v>1.0</v>
      </c>
      <c r="AZ12" s="412">
        <v>1.0</v>
      </c>
      <c r="BA12" s="412">
        <v>1.0</v>
      </c>
      <c r="BB12" s="412">
        <v>1.0</v>
      </c>
      <c r="BC12" s="412"/>
      <c r="BD12" s="412"/>
      <c r="BE12" s="412">
        <v>1.0</v>
      </c>
      <c r="BF12" s="412">
        <v>1.0</v>
      </c>
      <c r="BG12" s="412">
        <v>1.0</v>
      </c>
      <c r="BH12" s="412">
        <v>1.0</v>
      </c>
      <c r="BI12" s="412">
        <v>1.0</v>
      </c>
      <c r="BJ12" s="412"/>
      <c r="BK12" s="412"/>
      <c r="BL12" s="412">
        <v>1.0</v>
      </c>
      <c r="BM12" s="412">
        <v>1.0</v>
      </c>
      <c r="BN12" s="412">
        <v>1.0</v>
      </c>
      <c r="BO12" s="412">
        <v>1.0</v>
      </c>
      <c r="BP12" s="412">
        <v>1.0</v>
      </c>
      <c r="BQ12" s="412"/>
      <c r="BR12" s="412"/>
      <c r="BS12" s="412">
        <v>1.0</v>
      </c>
      <c r="BT12" s="412">
        <v>1.0</v>
      </c>
      <c r="BU12" s="412">
        <v>1.0</v>
      </c>
      <c r="BV12" s="412">
        <v>1.0</v>
      </c>
      <c r="BW12" s="413">
        <f>SUM(AR12:BV12)</f>
        <v>23</v>
      </c>
    </row>
    <row r="13" ht="15.75" customHeight="1">
      <c r="A13" s="397"/>
      <c r="B13" s="400"/>
      <c r="AL13" s="415"/>
      <c r="AM13" s="400"/>
      <c r="AN13" s="400"/>
    </row>
    <row r="14" ht="15.75" customHeight="1">
      <c r="A14" s="401" t="s">
        <v>156</v>
      </c>
      <c r="B14" s="402" t="s">
        <v>8</v>
      </c>
      <c r="C14" s="403"/>
      <c r="D14" s="403"/>
      <c r="E14" s="404"/>
      <c r="F14" s="405">
        <v>44348.0</v>
      </c>
      <c r="G14" s="405">
        <v>44349.0</v>
      </c>
      <c r="H14" s="405">
        <v>44350.0</v>
      </c>
      <c r="I14" s="405">
        <v>44351.0</v>
      </c>
      <c r="J14" s="405">
        <v>44352.0</v>
      </c>
      <c r="K14" s="405">
        <v>44353.0</v>
      </c>
      <c r="L14" s="405">
        <v>44354.0</v>
      </c>
      <c r="M14" s="405">
        <v>44355.0</v>
      </c>
      <c r="N14" s="405">
        <v>44356.0</v>
      </c>
      <c r="O14" s="405">
        <v>44357.0</v>
      </c>
      <c r="P14" s="405">
        <v>44358.0</v>
      </c>
      <c r="Q14" s="405">
        <v>44359.0</v>
      </c>
      <c r="R14" s="405">
        <v>44360.0</v>
      </c>
      <c r="S14" s="405">
        <v>44361.0</v>
      </c>
      <c r="T14" s="405">
        <v>44362.0</v>
      </c>
      <c r="U14" s="405">
        <v>44363.0</v>
      </c>
      <c r="V14" s="405">
        <v>44364.0</v>
      </c>
      <c r="W14" s="405">
        <v>44365.0</v>
      </c>
      <c r="X14" s="405">
        <v>44366.0</v>
      </c>
      <c r="Y14" s="405">
        <v>44367.0</v>
      </c>
      <c r="Z14" s="405">
        <v>44368.0</v>
      </c>
      <c r="AA14" s="405">
        <v>44369.0</v>
      </c>
      <c r="AB14" s="405">
        <v>44370.0</v>
      </c>
      <c r="AC14" s="405">
        <v>44371.0</v>
      </c>
      <c r="AD14" s="405">
        <v>44372.0</v>
      </c>
      <c r="AE14" s="405">
        <v>44373.0</v>
      </c>
      <c r="AF14" s="405">
        <v>44374.0</v>
      </c>
      <c r="AG14" s="405">
        <v>44375.0</v>
      </c>
      <c r="AH14" s="405">
        <v>44376.0</v>
      </c>
      <c r="AI14" s="405">
        <v>44377.0</v>
      </c>
      <c r="AJ14" s="405">
        <v>44378.0</v>
      </c>
      <c r="AK14" s="406" t="s">
        <v>162</v>
      </c>
      <c r="AL14" s="407"/>
      <c r="AM14" s="408" t="s">
        <v>156</v>
      </c>
      <c r="AN14" s="402" t="s">
        <v>8</v>
      </c>
      <c r="AO14" s="403"/>
      <c r="AP14" s="403"/>
      <c r="AQ14" s="404"/>
      <c r="AR14" s="405">
        <v>44348.0</v>
      </c>
      <c r="AS14" s="405">
        <v>44349.0</v>
      </c>
      <c r="AT14" s="405">
        <v>44350.0</v>
      </c>
      <c r="AU14" s="405">
        <v>44351.0</v>
      </c>
      <c r="AV14" s="405">
        <v>44352.0</v>
      </c>
      <c r="AW14" s="405">
        <v>44353.0</v>
      </c>
      <c r="AX14" s="405">
        <v>44354.0</v>
      </c>
      <c r="AY14" s="405">
        <v>44355.0</v>
      </c>
      <c r="AZ14" s="405">
        <v>44356.0</v>
      </c>
      <c r="BA14" s="405">
        <v>44357.0</v>
      </c>
      <c r="BB14" s="405">
        <v>44358.0</v>
      </c>
      <c r="BC14" s="405">
        <v>44359.0</v>
      </c>
      <c r="BD14" s="405">
        <v>44360.0</v>
      </c>
      <c r="BE14" s="405">
        <v>44361.0</v>
      </c>
      <c r="BF14" s="405">
        <v>44362.0</v>
      </c>
      <c r="BG14" s="405">
        <v>44363.0</v>
      </c>
      <c r="BH14" s="405">
        <v>44364.0</v>
      </c>
      <c r="BI14" s="405">
        <v>44365.0</v>
      </c>
      <c r="BJ14" s="405">
        <v>44366.0</v>
      </c>
      <c r="BK14" s="405">
        <v>44367.0</v>
      </c>
      <c r="BL14" s="405">
        <v>44368.0</v>
      </c>
      <c r="BM14" s="405">
        <v>44369.0</v>
      </c>
      <c r="BN14" s="405">
        <v>44370.0</v>
      </c>
      <c r="BO14" s="405">
        <v>44371.0</v>
      </c>
      <c r="BP14" s="405">
        <v>44372.0</v>
      </c>
      <c r="BQ14" s="405">
        <v>44373.0</v>
      </c>
      <c r="BR14" s="405">
        <v>44374.0</v>
      </c>
      <c r="BS14" s="405">
        <v>44375.0</v>
      </c>
      <c r="BT14" s="405">
        <v>44376.0</v>
      </c>
      <c r="BU14" s="405">
        <v>44377.0</v>
      </c>
      <c r="BV14" s="405">
        <v>44378.0</v>
      </c>
      <c r="BW14" s="406" t="s">
        <v>162</v>
      </c>
    </row>
    <row r="15" ht="15.75" customHeight="1">
      <c r="B15" s="402" t="s">
        <v>164</v>
      </c>
      <c r="C15" s="403"/>
      <c r="D15" s="403"/>
      <c r="E15" s="404"/>
      <c r="F15" s="409" t="s">
        <v>165</v>
      </c>
      <c r="G15" s="409" t="s">
        <v>166</v>
      </c>
      <c r="H15" s="409" t="s">
        <v>167</v>
      </c>
      <c r="I15" s="409" t="s">
        <v>168</v>
      </c>
      <c r="J15" s="410" t="s">
        <v>169</v>
      </c>
      <c r="K15" s="410" t="s">
        <v>170</v>
      </c>
      <c r="L15" s="409" t="s">
        <v>171</v>
      </c>
      <c r="M15" s="409" t="s">
        <v>165</v>
      </c>
      <c r="N15" s="409" t="s">
        <v>166</v>
      </c>
      <c r="O15" s="409" t="s">
        <v>167</v>
      </c>
      <c r="P15" s="409" t="s">
        <v>168</v>
      </c>
      <c r="Q15" s="410" t="s">
        <v>169</v>
      </c>
      <c r="R15" s="410" t="s">
        <v>170</v>
      </c>
      <c r="S15" s="409" t="s">
        <v>171</v>
      </c>
      <c r="T15" s="409" t="s">
        <v>165</v>
      </c>
      <c r="U15" s="409" t="s">
        <v>166</v>
      </c>
      <c r="V15" s="409" t="s">
        <v>167</v>
      </c>
      <c r="W15" s="409" t="s">
        <v>168</v>
      </c>
      <c r="X15" s="410" t="s">
        <v>169</v>
      </c>
      <c r="Y15" s="410" t="s">
        <v>170</v>
      </c>
      <c r="Z15" s="409" t="s">
        <v>171</v>
      </c>
      <c r="AA15" s="409" t="s">
        <v>165</v>
      </c>
      <c r="AB15" s="409" t="s">
        <v>166</v>
      </c>
      <c r="AC15" s="409" t="s">
        <v>167</v>
      </c>
      <c r="AD15" s="409" t="s">
        <v>168</v>
      </c>
      <c r="AE15" s="410" t="s">
        <v>169</v>
      </c>
      <c r="AF15" s="410" t="s">
        <v>170</v>
      </c>
      <c r="AG15" s="409" t="s">
        <v>171</v>
      </c>
      <c r="AH15" s="409" t="s">
        <v>165</v>
      </c>
      <c r="AI15" s="409" t="s">
        <v>166</v>
      </c>
      <c r="AJ15" s="409" t="s">
        <v>167</v>
      </c>
      <c r="AL15" s="407"/>
      <c r="AN15" s="402" t="s">
        <v>164</v>
      </c>
      <c r="AO15" s="403"/>
      <c r="AP15" s="403"/>
      <c r="AQ15" s="404"/>
      <c r="AR15" s="409" t="s">
        <v>165</v>
      </c>
      <c r="AS15" s="409" t="s">
        <v>166</v>
      </c>
      <c r="AT15" s="409" t="s">
        <v>167</v>
      </c>
      <c r="AU15" s="409" t="s">
        <v>168</v>
      </c>
      <c r="AV15" s="410" t="s">
        <v>169</v>
      </c>
      <c r="AW15" s="410" t="s">
        <v>170</v>
      </c>
      <c r="AX15" s="409" t="s">
        <v>171</v>
      </c>
      <c r="AY15" s="409" t="s">
        <v>165</v>
      </c>
      <c r="AZ15" s="409" t="s">
        <v>166</v>
      </c>
      <c r="BA15" s="409" t="s">
        <v>167</v>
      </c>
      <c r="BB15" s="409" t="s">
        <v>168</v>
      </c>
      <c r="BC15" s="410" t="s">
        <v>169</v>
      </c>
      <c r="BD15" s="410" t="s">
        <v>170</v>
      </c>
      <c r="BE15" s="409" t="s">
        <v>171</v>
      </c>
      <c r="BF15" s="409" t="s">
        <v>165</v>
      </c>
      <c r="BG15" s="409" t="s">
        <v>166</v>
      </c>
      <c r="BH15" s="409" t="s">
        <v>167</v>
      </c>
      <c r="BI15" s="409" t="s">
        <v>168</v>
      </c>
      <c r="BJ15" s="410" t="s">
        <v>169</v>
      </c>
      <c r="BK15" s="410" t="s">
        <v>170</v>
      </c>
      <c r="BL15" s="409" t="s">
        <v>171</v>
      </c>
      <c r="BM15" s="409" t="s">
        <v>165</v>
      </c>
      <c r="BN15" s="409" t="s">
        <v>166</v>
      </c>
      <c r="BO15" s="409" t="s">
        <v>167</v>
      </c>
      <c r="BP15" s="409" t="s">
        <v>168</v>
      </c>
      <c r="BQ15" s="410" t="s">
        <v>169</v>
      </c>
      <c r="BR15" s="410" t="s">
        <v>170</v>
      </c>
      <c r="BS15" s="409" t="s">
        <v>171</v>
      </c>
      <c r="BT15" s="409" t="s">
        <v>165</v>
      </c>
      <c r="BU15" s="409" t="s">
        <v>166</v>
      </c>
      <c r="BV15" s="409" t="s">
        <v>167</v>
      </c>
    </row>
    <row r="16" ht="15.75" customHeight="1">
      <c r="B16" s="411" t="s">
        <v>160</v>
      </c>
      <c r="C16" s="403"/>
      <c r="D16" s="403"/>
      <c r="E16" s="404"/>
      <c r="F16" s="412">
        <v>1.0</v>
      </c>
      <c r="G16" s="412">
        <v>1.0</v>
      </c>
      <c r="H16" s="412">
        <v>1.0</v>
      </c>
      <c r="I16" s="412">
        <v>1.0</v>
      </c>
      <c r="J16" s="412"/>
      <c r="K16" s="412"/>
      <c r="L16" s="412">
        <v>1.0</v>
      </c>
      <c r="M16" s="412">
        <v>1.0</v>
      </c>
      <c r="N16" s="412">
        <v>1.0</v>
      </c>
      <c r="O16" s="412">
        <v>1.0</v>
      </c>
      <c r="P16" s="412">
        <v>1.0</v>
      </c>
      <c r="Q16" s="412"/>
      <c r="R16" s="412"/>
      <c r="S16" s="412">
        <v>1.0</v>
      </c>
      <c r="T16" s="412">
        <v>1.0</v>
      </c>
      <c r="U16" s="412">
        <v>1.0</v>
      </c>
      <c r="V16" s="412">
        <v>1.0</v>
      </c>
      <c r="W16" s="412">
        <v>1.0</v>
      </c>
      <c r="X16" s="412"/>
      <c r="Y16" s="412"/>
      <c r="Z16" s="412">
        <v>1.0</v>
      </c>
      <c r="AA16" s="412">
        <v>1.0</v>
      </c>
      <c r="AB16" s="412">
        <v>1.0</v>
      </c>
      <c r="AC16" s="412">
        <v>1.0</v>
      </c>
      <c r="AD16" s="412">
        <v>1.0</v>
      </c>
      <c r="AE16" s="412"/>
      <c r="AF16" s="412"/>
      <c r="AG16" s="412">
        <v>1.0</v>
      </c>
      <c r="AH16" s="412">
        <v>1.0</v>
      </c>
      <c r="AI16" s="412">
        <v>1.0</v>
      </c>
      <c r="AJ16" s="412">
        <v>1.0</v>
      </c>
      <c r="AK16" s="413">
        <f>SUM(F16:AJ16)</f>
        <v>23</v>
      </c>
      <c r="AL16" s="414"/>
      <c r="AN16" s="411" t="s">
        <v>161</v>
      </c>
      <c r="AO16" s="403"/>
      <c r="AP16" s="403"/>
      <c r="AQ16" s="404"/>
      <c r="AR16" s="412">
        <v>1.0</v>
      </c>
      <c r="AS16" s="412">
        <v>1.0</v>
      </c>
      <c r="AT16" s="412">
        <v>1.0</v>
      </c>
      <c r="AU16" s="412">
        <v>1.0</v>
      </c>
      <c r="AV16" s="412"/>
      <c r="AW16" s="412"/>
      <c r="AX16" s="412">
        <v>1.0</v>
      </c>
      <c r="AY16" s="412">
        <v>1.0</v>
      </c>
      <c r="AZ16" s="412">
        <v>1.0</v>
      </c>
      <c r="BA16" s="412">
        <v>1.0</v>
      </c>
      <c r="BB16" s="412">
        <v>1.0</v>
      </c>
      <c r="BC16" s="412"/>
      <c r="BD16" s="412"/>
      <c r="BE16" s="412">
        <v>1.0</v>
      </c>
      <c r="BF16" s="412">
        <v>1.0</v>
      </c>
      <c r="BG16" s="412">
        <v>1.0</v>
      </c>
      <c r="BH16" s="412">
        <v>1.0</v>
      </c>
      <c r="BI16" s="412">
        <v>1.0</v>
      </c>
      <c r="BJ16" s="412"/>
      <c r="BK16" s="412"/>
      <c r="BL16" s="412">
        <v>1.0</v>
      </c>
      <c r="BM16" s="412">
        <v>1.0</v>
      </c>
      <c r="BN16" s="412">
        <v>1.0</v>
      </c>
      <c r="BO16" s="412">
        <v>1.0</v>
      </c>
      <c r="BP16" s="412">
        <v>1.0</v>
      </c>
      <c r="BQ16" s="412"/>
      <c r="BR16" s="412"/>
      <c r="BS16" s="412">
        <v>1.0</v>
      </c>
      <c r="BT16" s="412">
        <v>1.0</v>
      </c>
      <c r="BU16" s="412">
        <v>1.0</v>
      </c>
      <c r="BV16" s="412">
        <v>1.0</v>
      </c>
      <c r="BW16" s="413">
        <f>SUM(AR16:BV16)</f>
        <v>23</v>
      </c>
    </row>
  </sheetData>
  <mergeCells count="48">
    <mergeCell ref="AM10:AM12"/>
    <mergeCell ref="AM14:AM16"/>
    <mergeCell ref="AN14:AQ14"/>
    <mergeCell ref="AN15:AQ15"/>
    <mergeCell ref="AN16:AQ16"/>
    <mergeCell ref="AN7:AQ7"/>
    <mergeCell ref="AN8:AQ8"/>
    <mergeCell ref="AK10:AK11"/>
    <mergeCell ref="AN10:AQ10"/>
    <mergeCell ref="AN11:AQ11"/>
    <mergeCell ref="AN12:AQ12"/>
    <mergeCell ref="AK14:AK15"/>
    <mergeCell ref="B2:E2"/>
    <mergeCell ref="B3:E3"/>
    <mergeCell ref="B1:AK1"/>
    <mergeCell ref="AN1:BW1"/>
    <mergeCell ref="AK2:AK3"/>
    <mergeCell ref="AM2:AM4"/>
    <mergeCell ref="AN2:AQ2"/>
    <mergeCell ref="BW2:BW3"/>
    <mergeCell ref="AN3:AQ3"/>
    <mergeCell ref="B9:AK9"/>
    <mergeCell ref="AN9:BW9"/>
    <mergeCell ref="BW10:BW11"/>
    <mergeCell ref="AN13:BW13"/>
    <mergeCell ref="BW14:BW15"/>
    <mergeCell ref="B15:E15"/>
    <mergeCell ref="AN4:AQ4"/>
    <mergeCell ref="B5:AK5"/>
    <mergeCell ref="AN5:BW5"/>
    <mergeCell ref="AK6:AK7"/>
    <mergeCell ref="AM6:AM8"/>
    <mergeCell ref="AN6:AQ6"/>
    <mergeCell ref="BW6:BW7"/>
    <mergeCell ref="B10:E10"/>
    <mergeCell ref="B11:E11"/>
    <mergeCell ref="B13:AK13"/>
    <mergeCell ref="A10:A12"/>
    <mergeCell ref="A14:A16"/>
    <mergeCell ref="B14:E14"/>
    <mergeCell ref="B16:E16"/>
    <mergeCell ref="A2:A4"/>
    <mergeCell ref="B4:E4"/>
    <mergeCell ref="A6:A8"/>
    <mergeCell ref="B6:E6"/>
    <mergeCell ref="B7:E7"/>
    <mergeCell ref="B8:E8"/>
    <mergeCell ref="B12:E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ySplit="2.0" topLeftCell="S3" activePane="bottomRight" state="frozen"/>
      <selection activeCell="S1" sqref="S1" pane="topRight"/>
      <selection activeCell="A3" sqref="A3" pane="bottomLeft"/>
      <selection activeCell="S3" sqref="S3" pane="bottomRight"/>
    </sheetView>
  </sheetViews>
  <sheetFormatPr customHeight="1" defaultColWidth="12.63" defaultRowHeight="15.0"/>
  <cols>
    <col customWidth="1" min="1" max="66" width="2.63"/>
  </cols>
  <sheetData>
    <row r="1" ht="15.0" customHeight="1">
      <c r="A1" s="416" t="s">
        <v>7</v>
      </c>
      <c r="S1" s="417" t="s">
        <v>172</v>
      </c>
      <c r="T1" s="134"/>
      <c r="U1" s="134"/>
      <c r="V1" s="135"/>
      <c r="W1" s="418" t="s">
        <v>161</v>
      </c>
      <c r="AA1" s="419" t="s">
        <v>173</v>
      </c>
      <c r="AB1" s="134"/>
      <c r="AC1" s="134"/>
      <c r="AD1" s="134"/>
      <c r="AE1" s="135"/>
      <c r="AF1" s="420" t="s">
        <v>174</v>
      </c>
      <c r="AG1" s="134"/>
      <c r="AH1" s="134"/>
      <c r="AI1" s="134"/>
      <c r="AJ1" s="135"/>
      <c r="AK1" s="421" t="s">
        <v>175</v>
      </c>
      <c r="AL1" s="134"/>
      <c r="AM1" s="134"/>
      <c r="AN1" s="134"/>
      <c r="AO1" s="135"/>
      <c r="AP1" s="421" t="s">
        <v>176</v>
      </c>
      <c r="AQ1" s="134"/>
      <c r="AR1" s="134"/>
      <c r="AS1" s="134"/>
      <c r="AT1" s="135"/>
      <c r="AU1" s="422" t="s">
        <v>177</v>
      </c>
      <c r="AZ1" s="421" t="s">
        <v>178</v>
      </c>
      <c r="BA1" s="134"/>
      <c r="BB1" s="134"/>
      <c r="BC1" s="134"/>
      <c r="BD1" s="135"/>
      <c r="BE1" s="421" t="s">
        <v>179</v>
      </c>
      <c r="BF1" s="134"/>
      <c r="BG1" s="134"/>
      <c r="BH1" s="134"/>
      <c r="BI1" s="135"/>
      <c r="BJ1" s="422" t="s">
        <v>180</v>
      </c>
    </row>
    <row r="2" ht="15.0" customHeight="1">
      <c r="S2" s="153"/>
      <c r="V2" s="35"/>
      <c r="AA2" s="153"/>
      <c r="AE2" s="35"/>
      <c r="AF2" s="153"/>
      <c r="AJ2" s="35"/>
      <c r="AK2" s="153"/>
      <c r="AO2" s="35"/>
      <c r="AP2" s="153"/>
      <c r="AT2" s="35"/>
      <c r="AZ2" s="153"/>
      <c r="BD2" s="35"/>
      <c r="BE2" s="153"/>
      <c r="BI2" s="35"/>
    </row>
    <row r="3" ht="15.0" customHeight="1">
      <c r="A3" s="423" t="s">
        <v>25</v>
      </c>
      <c r="S3" s="424">
        <f>'Евгений Ж.'!DH3</f>
        <v>59</v>
      </c>
      <c r="V3" s="35"/>
      <c r="W3" s="425" t="str">
        <f t="shared" ref="W3:W13" si="1">#REF!</f>
        <v>#REF!</v>
      </c>
      <c r="AA3" s="426" t="str">
        <f>sum(S3:W3)/4</f>
        <v>#REF!</v>
      </c>
      <c r="AE3" s="35"/>
      <c r="AF3" s="427" t="str">
        <f>sum(S3:W3)</f>
        <v>#REF!</v>
      </c>
      <c r="AJ3" s="35"/>
      <c r="AK3" s="424">
        <v>60.0</v>
      </c>
      <c r="AO3" s="35"/>
      <c r="AP3" s="424">
        <v>250.0</v>
      </c>
      <c r="AT3" s="35"/>
      <c r="AU3" s="428" t="str">
        <f>AA3*100/AK3</f>
        <v>#REF!</v>
      </c>
      <c r="AZ3" s="427" t="str">
        <f>AF3*100/AP3</f>
        <v>#REF!</v>
      </c>
      <c r="BD3" s="35"/>
      <c r="BE3" s="427" t="str">
        <f>sum(AU23:AU31,AU19,AU15,AU14,AU13,AU12,AU11,AU10,AU9,AU8,AU7,AU6,AU5,AU3,AZ3:AZ10)/29</f>
        <v>#DIV/0!</v>
      </c>
      <c r="BI3" s="35"/>
      <c r="BJ3" s="425" t="str">
        <f>IF(BE3&gt;=85,AA11*2.25%,IF(BE3&lt;=84,AA11*1.25%))</f>
        <v>#DIV/0!</v>
      </c>
    </row>
    <row r="4" ht="15.0" customHeight="1">
      <c r="A4" s="423" t="s">
        <v>181</v>
      </c>
      <c r="S4" s="424" t="str">
        <f>'Евгений Ж.'!DH13</f>
        <v/>
      </c>
      <c r="V4" s="35"/>
      <c r="W4" s="425" t="str">
        <f t="shared" si="1"/>
        <v>#REF!</v>
      </c>
      <c r="AA4" s="426"/>
      <c r="AE4" s="35"/>
      <c r="AF4" s="427"/>
      <c r="AJ4" s="35"/>
      <c r="AK4" s="424"/>
      <c r="AL4" s="425"/>
      <c r="AM4" s="425"/>
      <c r="AN4" s="425"/>
      <c r="AO4" s="429"/>
      <c r="AP4" s="424"/>
      <c r="AT4" s="35"/>
      <c r="AU4" s="428"/>
      <c r="AZ4" s="427"/>
      <c r="BD4" s="35"/>
      <c r="BE4" s="424"/>
      <c r="BF4" s="425"/>
      <c r="BG4" s="425"/>
      <c r="BH4" s="425"/>
      <c r="BI4" s="429"/>
      <c r="BJ4" s="425"/>
      <c r="BK4" s="425"/>
      <c r="BL4" s="425"/>
      <c r="BM4" s="425"/>
      <c r="BN4" s="425"/>
    </row>
    <row r="5" ht="15.0" customHeight="1">
      <c r="A5" s="423" t="s">
        <v>28</v>
      </c>
      <c r="S5" s="424">
        <f>'Евгений Ж.'!DH4</f>
        <v>197</v>
      </c>
      <c r="V5" s="35"/>
      <c r="W5" s="425" t="str">
        <f t="shared" si="1"/>
        <v>#REF!</v>
      </c>
      <c r="AA5" s="426" t="str">
        <f t="shared" ref="AA5:AA8" si="2">sum(S5:W5)/4</f>
        <v>#REF!</v>
      </c>
      <c r="AE5" s="35"/>
      <c r="AF5" s="427" t="str">
        <f t="shared" ref="AF5:AF10" si="3">sum(S5:W5)</f>
        <v>#REF!</v>
      </c>
      <c r="AJ5" s="35"/>
      <c r="AK5" s="424">
        <v>60.0</v>
      </c>
      <c r="AO5" s="35"/>
      <c r="AP5" s="424">
        <v>300.0</v>
      </c>
      <c r="AT5" s="35"/>
      <c r="AU5" s="428" t="str">
        <f t="shared" ref="AU5:AU15" si="4">AA5*100/AK5</f>
        <v>#REF!</v>
      </c>
      <c r="AZ5" s="427" t="str">
        <f t="shared" ref="AZ5:AZ10" si="5">AF5*100/AP5</f>
        <v>#REF!</v>
      </c>
      <c r="BD5" s="35"/>
      <c r="BE5" s="424"/>
      <c r="BF5" s="425"/>
      <c r="BG5" s="425"/>
      <c r="BH5" s="425"/>
      <c r="BI5" s="429"/>
      <c r="BJ5" s="425"/>
      <c r="BK5" s="425"/>
      <c r="BL5" s="425"/>
      <c r="BM5" s="425"/>
      <c r="BN5" s="425"/>
    </row>
    <row r="6" ht="15.0" customHeight="1">
      <c r="A6" s="430" t="s">
        <v>182</v>
      </c>
      <c r="S6" s="424">
        <f>'Евгений Ж.'!DH5</f>
        <v>20</v>
      </c>
      <c r="V6" s="35"/>
      <c r="W6" s="425" t="str">
        <f t="shared" si="1"/>
        <v>#REF!</v>
      </c>
      <c r="AA6" s="426" t="str">
        <f t="shared" si="2"/>
        <v>#REF!</v>
      </c>
      <c r="AE6" s="35"/>
      <c r="AF6" s="427" t="str">
        <f t="shared" si="3"/>
        <v>#REF!</v>
      </c>
      <c r="AJ6" s="35"/>
      <c r="AK6" s="424">
        <v>18.0</v>
      </c>
      <c r="AO6" s="35"/>
      <c r="AP6" s="424">
        <v>70.0</v>
      </c>
      <c r="AT6" s="35"/>
      <c r="AU6" s="428" t="str">
        <f t="shared" si="4"/>
        <v>#REF!</v>
      </c>
      <c r="AZ6" s="427" t="str">
        <f t="shared" si="5"/>
        <v>#REF!</v>
      </c>
      <c r="BD6" s="35"/>
      <c r="BE6" s="424"/>
      <c r="BF6" s="425"/>
      <c r="BG6" s="425"/>
      <c r="BH6" s="425"/>
      <c r="BI6" s="429"/>
      <c r="BJ6" s="425"/>
      <c r="BK6" s="425"/>
      <c r="BL6" s="425"/>
      <c r="BM6" s="425"/>
      <c r="BN6" s="425"/>
    </row>
    <row r="7" ht="15.0" customHeight="1">
      <c r="A7" s="430" t="s">
        <v>183</v>
      </c>
      <c r="S7" s="424">
        <f>'Евгений Ж.'!DH6</f>
        <v>9</v>
      </c>
      <c r="V7" s="35"/>
      <c r="W7" s="425" t="str">
        <f t="shared" si="1"/>
        <v>#REF!</v>
      </c>
      <c r="AA7" s="426" t="str">
        <f t="shared" si="2"/>
        <v>#REF!</v>
      </c>
      <c r="AE7" s="35"/>
      <c r="AF7" s="427" t="str">
        <f t="shared" si="3"/>
        <v>#REF!</v>
      </c>
      <c r="AJ7" s="35"/>
      <c r="AK7" s="424">
        <v>20.0</v>
      </c>
      <c r="AO7" s="35"/>
      <c r="AP7" s="424">
        <v>75.0</v>
      </c>
      <c r="AT7" s="35"/>
      <c r="AU7" s="428" t="str">
        <f t="shared" si="4"/>
        <v>#REF!</v>
      </c>
      <c r="AZ7" s="427" t="str">
        <f t="shared" si="5"/>
        <v>#REF!</v>
      </c>
      <c r="BD7" s="35"/>
      <c r="BE7" s="424"/>
      <c r="BF7" s="425"/>
      <c r="BG7" s="425"/>
      <c r="BH7" s="425"/>
      <c r="BI7" s="429"/>
      <c r="BJ7" s="425"/>
      <c r="BK7" s="425"/>
      <c r="BL7" s="425"/>
      <c r="BM7" s="425"/>
      <c r="BN7" s="425"/>
    </row>
    <row r="8" ht="15.0" customHeight="1">
      <c r="A8" s="423" t="s">
        <v>184</v>
      </c>
      <c r="S8" s="424">
        <f>'Евгений Ж.'!DH7</f>
        <v>0</v>
      </c>
      <c r="V8" s="35"/>
      <c r="W8" s="425" t="str">
        <f t="shared" si="1"/>
        <v>#REF!</v>
      </c>
      <c r="AA8" s="426" t="str">
        <f t="shared" si="2"/>
        <v>#REF!</v>
      </c>
      <c r="AE8" s="35"/>
      <c r="AF8" s="427" t="str">
        <f t="shared" si="3"/>
        <v>#REF!</v>
      </c>
      <c r="AJ8" s="35"/>
      <c r="AK8" s="424">
        <v>30.0</v>
      </c>
      <c r="AO8" s="35"/>
      <c r="AP8" s="424">
        <v>35.0</v>
      </c>
      <c r="AT8" s="35"/>
      <c r="AU8" s="428" t="str">
        <f t="shared" si="4"/>
        <v>#REF!</v>
      </c>
      <c r="AZ8" s="427" t="str">
        <f t="shared" si="5"/>
        <v>#REF!</v>
      </c>
      <c r="BD8" s="35"/>
      <c r="BE8" s="424"/>
      <c r="BF8" s="425"/>
      <c r="BG8" s="425"/>
      <c r="BH8" s="425"/>
      <c r="BI8" s="429"/>
      <c r="BJ8" s="425"/>
      <c r="BK8" s="425"/>
      <c r="BL8" s="425"/>
      <c r="BM8" s="425"/>
      <c r="BN8" s="425"/>
    </row>
    <row r="9" ht="15.0" customHeight="1">
      <c r="A9" s="430" t="s">
        <v>185</v>
      </c>
      <c r="S9" s="424">
        <f>'Евгений Ж.'!DH8</f>
        <v>0</v>
      </c>
      <c r="V9" s="35"/>
      <c r="W9" s="425" t="str">
        <f t="shared" si="1"/>
        <v>#REF!</v>
      </c>
      <c r="AA9" s="426" t="str">
        <f>sum(S9:W9)/AA8</f>
        <v>#REF!</v>
      </c>
      <c r="AE9" s="35"/>
      <c r="AF9" s="427" t="str">
        <f t="shared" si="3"/>
        <v>#REF!</v>
      </c>
      <c r="AJ9" s="35"/>
      <c r="AK9" s="424">
        <v>6.0</v>
      </c>
      <c r="AO9" s="35"/>
      <c r="AP9" s="424">
        <v>45.0</v>
      </c>
      <c r="AT9" s="35"/>
      <c r="AU9" s="428" t="str">
        <f t="shared" si="4"/>
        <v>#REF!</v>
      </c>
      <c r="AZ9" s="427" t="str">
        <f t="shared" si="5"/>
        <v>#REF!</v>
      </c>
      <c r="BD9" s="35"/>
      <c r="BE9" s="424"/>
      <c r="BF9" s="425"/>
      <c r="BG9" s="425"/>
      <c r="BH9" s="425"/>
      <c r="BI9" s="429"/>
      <c r="BJ9" s="425"/>
      <c r="BK9" s="425"/>
      <c r="BL9" s="425"/>
      <c r="BM9" s="425"/>
      <c r="BN9" s="425"/>
    </row>
    <row r="10" ht="15.0" customHeight="1">
      <c r="A10" s="423" t="s">
        <v>52</v>
      </c>
      <c r="S10" s="431">
        <f>'Евгений Ж.'!DH9</f>
        <v>0</v>
      </c>
      <c r="V10" s="35"/>
      <c r="W10" s="432" t="str">
        <f t="shared" si="1"/>
        <v>#REF!</v>
      </c>
      <c r="AA10" s="431" t="str">
        <f t="shared" ref="AA10:AA13" si="6">sum(S10:W10)/4</f>
        <v>#REF!</v>
      </c>
      <c r="AE10" s="35"/>
      <c r="AF10" s="431" t="str">
        <f t="shared" si="3"/>
        <v>#REF!</v>
      </c>
      <c r="AJ10" s="35"/>
      <c r="AK10" s="431">
        <v>1200000.0</v>
      </c>
      <c r="AO10" s="35"/>
      <c r="AP10" s="431">
        <v>5000000.0</v>
      </c>
      <c r="AT10" s="35"/>
      <c r="AU10" s="428" t="str">
        <f t="shared" si="4"/>
        <v>#REF!</v>
      </c>
      <c r="AZ10" s="427" t="str">
        <f t="shared" si="5"/>
        <v>#REF!</v>
      </c>
      <c r="BD10" s="35"/>
      <c r="BE10" s="424"/>
      <c r="BF10" s="425"/>
      <c r="BG10" s="425"/>
      <c r="BH10" s="425"/>
      <c r="BI10" s="429"/>
      <c r="BJ10" s="425"/>
      <c r="BK10" s="425"/>
      <c r="BL10" s="425"/>
      <c r="BM10" s="425"/>
      <c r="BN10" s="425"/>
    </row>
    <row r="11" ht="15.0" customHeight="1">
      <c r="A11" s="423" t="s">
        <v>57</v>
      </c>
      <c r="S11" s="431">
        <f>'Евгений Ж.'!DH10</f>
        <v>0</v>
      </c>
      <c r="V11" s="35"/>
      <c r="W11" s="432" t="str">
        <f t="shared" si="1"/>
        <v>#REF!</v>
      </c>
      <c r="AA11" s="431" t="str">
        <f t="shared" si="6"/>
        <v>#REF!</v>
      </c>
      <c r="AE11" s="35"/>
      <c r="AF11" s="431"/>
      <c r="AJ11" s="35"/>
      <c r="AK11" s="431">
        <v>5000000.0</v>
      </c>
      <c r="AO11" s="35"/>
      <c r="AP11" s="431">
        <v>5000000.0</v>
      </c>
      <c r="AT11" s="35"/>
      <c r="AU11" s="428" t="str">
        <f t="shared" si="4"/>
        <v>#REF!</v>
      </c>
      <c r="AZ11" s="427"/>
      <c r="BD11" s="35"/>
      <c r="BE11" s="424"/>
      <c r="BF11" s="425"/>
      <c r="BG11" s="425"/>
      <c r="BH11" s="425"/>
      <c r="BI11" s="429"/>
      <c r="BJ11" s="425"/>
      <c r="BK11" s="425"/>
      <c r="BL11" s="425"/>
      <c r="BM11" s="425"/>
      <c r="BN11" s="425"/>
    </row>
    <row r="12" ht="15.0" customHeight="1">
      <c r="A12" s="423" t="s">
        <v>70</v>
      </c>
      <c r="S12" s="431">
        <f>'Евгений Ж.'!DH11</f>
        <v>20000</v>
      </c>
      <c r="V12" s="35"/>
      <c r="W12" s="432" t="str">
        <f t="shared" si="1"/>
        <v>#REF!</v>
      </c>
      <c r="AA12" s="431" t="str">
        <f t="shared" si="6"/>
        <v>#REF!</v>
      </c>
      <c r="AE12" s="35"/>
      <c r="AF12" s="431" t="str">
        <f>sum(S12:W12)</f>
        <v>#REF!</v>
      </c>
      <c r="AJ12" s="35"/>
      <c r="AK12" s="431">
        <v>800000.0</v>
      </c>
      <c r="AO12" s="35"/>
      <c r="AP12" s="424"/>
      <c r="AQ12" s="425"/>
      <c r="AR12" s="425"/>
      <c r="AS12" s="425"/>
      <c r="AT12" s="429"/>
      <c r="AU12" s="428" t="str">
        <f t="shared" si="4"/>
        <v>#REF!</v>
      </c>
      <c r="AZ12" s="424"/>
      <c r="BD12" s="35"/>
      <c r="BE12" s="424"/>
      <c r="BF12" s="425"/>
      <c r="BG12" s="425"/>
      <c r="BH12" s="425"/>
      <c r="BI12" s="429"/>
      <c r="BJ12" s="425"/>
      <c r="BK12" s="425"/>
      <c r="BL12" s="425"/>
      <c r="BM12" s="425"/>
      <c r="BN12" s="425"/>
    </row>
    <row r="13" ht="15.0" customHeight="1">
      <c r="A13" s="423" t="s">
        <v>186</v>
      </c>
      <c r="S13" s="431" t="str">
        <f>'Евгений Ж.'!DH12</f>
        <v>#DIV/0!</v>
      </c>
      <c r="V13" s="35"/>
      <c r="W13" s="432" t="str">
        <f t="shared" si="1"/>
        <v>#REF!</v>
      </c>
      <c r="AA13" s="431" t="str">
        <f t="shared" si="6"/>
        <v>#DIV/0!</v>
      </c>
      <c r="AE13" s="35"/>
      <c r="AF13" s="431"/>
      <c r="AJ13" s="35"/>
      <c r="AK13" s="431">
        <v>200000.0</v>
      </c>
      <c r="AO13" s="35"/>
      <c r="AP13" s="424"/>
      <c r="AQ13" s="425"/>
      <c r="AR13" s="425"/>
      <c r="AS13" s="425"/>
      <c r="AT13" s="429"/>
      <c r="AU13" s="428" t="str">
        <f t="shared" si="4"/>
        <v>#DIV/0!</v>
      </c>
      <c r="AZ13" s="424"/>
      <c r="BD13" s="35"/>
      <c r="BE13" s="424"/>
      <c r="BF13" s="425"/>
      <c r="BG13" s="425"/>
      <c r="BH13" s="425"/>
      <c r="BI13" s="429"/>
      <c r="BJ13" s="425"/>
      <c r="BK13" s="425"/>
      <c r="BL13" s="425"/>
      <c r="BM13" s="425"/>
      <c r="BN13" s="425"/>
    </row>
    <row r="14" ht="15.0" customHeight="1">
      <c r="A14" s="430" t="s">
        <v>187</v>
      </c>
      <c r="S14" s="424"/>
      <c r="V14" s="35"/>
      <c r="W14" s="425"/>
      <c r="AA14" s="431" t="str">
        <f>AF10/AF9</f>
        <v>#REF!</v>
      </c>
      <c r="AE14" s="35"/>
      <c r="AF14" s="427"/>
      <c r="AJ14" s="35"/>
      <c r="AK14" s="431">
        <v>190000.0</v>
      </c>
      <c r="AO14" s="35"/>
      <c r="AP14" s="424"/>
      <c r="AQ14" s="425"/>
      <c r="AR14" s="425"/>
      <c r="AS14" s="425"/>
      <c r="AT14" s="429"/>
      <c r="AU14" s="428" t="str">
        <f t="shared" si="4"/>
        <v>#REF!</v>
      </c>
      <c r="AZ14" s="424"/>
      <c r="BD14" s="35"/>
      <c r="BE14" s="424"/>
      <c r="BF14" s="425"/>
      <c r="BG14" s="425"/>
      <c r="BH14" s="425"/>
      <c r="BI14" s="429"/>
      <c r="BJ14" s="425"/>
      <c r="BK14" s="425"/>
      <c r="BL14" s="425"/>
      <c r="BM14" s="425"/>
      <c r="BN14" s="425"/>
    </row>
    <row r="15" ht="15.0" customHeight="1">
      <c r="A15" s="430" t="s">
        <v>84</v>
      </c>
      <c r="S15" s="426" t="str">
        <f>'Евгений Ж.'!DH15</f>
        <v>#DIV/0!</v>
      </c>
      <c r="V15" s="35"/>
      <c r="W15" s="433" t="str">
        <f>#REF!</f>
        <v>#REF!</v>
      </c>
      <c r="AA15" s="426" t="str">
        <f>sum(S15:W15)/4</f>
        <v>#DIV/0!</v>
      </c>
      <c r="AE15" s="35"/>
      <c r="AF15" s="427"/>
      <c r="AJ15" s="35"/>
      <c r="AK15" s="424">
        <v>0.8</v>
      </c>
      <c r="AO15" s="35"/>
      <c r="AP15" s="424"/>
      <c r="AQ15" s="425"/>
      <c r="AR15" s="425"/>
      <c r="AS15" s="425"/>
      <c r="AT15" s="429"/>
      <c r="AU15" s="428" t="str">
        <f t="shared" si="4"/>
        <v>#DIV/0!</v>
      </c>
      <c r="AZ15" s="424"/>
      <c r="BD15" s="35"/>
      <c r="BE15" s="424"/>
      <c r="BF15" s="425"/>
      <c r="BG15" s="425"/>
      <c r="BH15" s="425"/>
      <c r="BI15" s="429"/>
      <c r="BJ15" s="425"/>
      <c r="BK15" s="425"/>
      <c r="BL15" s="425"/>
      <c r="BM15" s="425"/>
      <c r="BN15" s="425"/>
    </row>
    <row r="16" ht="15.0" customHeight="1">
      <c r="A16" s="434" t="s">
        <v>4</v>
      </c>
      <c r="S16" s="435" t="str">
        <f>'Евгений Ж.'!FJ2</f>
        <v>Сумма</v>
      </c>
      <c r="W16" s="435" t="str">
        <f>'Евгений Ж.'!FM2</f>
        <v/>
      </c>
      <c r="AA16" s="436" t="s">
        <v>173</v>
      </c>
      <c r="AF16" s="437" t="s">
        <v>174</v>
      </c>
      <c r="AK16" s="438"/>
      <c r="AP16" s="438"/>
      <c r="AU16" s="438"/>
      <c r="AZ16" s="438"/>
      <c r="BE16" s="438"/>
      <c r="BJ16" s="438"/>
    </row>
    <row r="17" ht="15.0" customHeight="1">
      <c r="A17" s="423" t="s">
        <v>188</v>
      </c>
      <c r="S17" s="431">
        <f>'Евгений Ж.'!FJ3</f>
        <v>0</v>
      </c>
      <c r="V17" s="35"/>
      <c r="W17" s="432" t="str">
        <f>'Евгений Ж.'!FM3</f>
        <v/>
      </c>
      <c r="AA17" s="439">
        <f t="shared" ref="AA17:AA21" si="7">sum(S17:W17)/4</f>
        <v>0</v>
      </c>
      <c r="AE17" s="35"/>
      <c r="AF17" s="439">
        <f t="shared" ref="AF17:AF21" si="8">sum(S17:W17)</f>
        <v>0</v>
      </c>
      <c r="AJ17" s="35"/>
      <c r="AK17" s="424"/>
      <c r="AL17" s="425"/>
      <c r="AM17" s="425"/>
      <c r="AN17" s="425"/>
      <c r="AO17" s="429"/>
      <c r="AP17" s="424"/>
      <c r="AQ17" s="425"/>
      <c r="AR17" s="425"/>
      <c r="AS17" s="425"/>
      <c r="AT17" s="429"/>
      <c r="AU17" s="425"/>
      <c r="AV17" s="425"/>
      <c r="AW17" s="425"/>
      <c r="AX17" s="425"/>
      <c r="AY17" s="425"/>
      <c r="AZ17" s="424"/>
      <c r="BA17" s="425"/>
      <c r="BB17" s="425"/>
      <c r="BC17" s="425"/>
      <c r="BD17" s="425"/>
      <c r="BE17" s="425"/>
      <c r="BF17" s="425"/>
      <c r="BG17" s="425"/>
      <c r="BH17" s="425"/>
      <c r="BI17" s="425"/>
      <c r="BJ17" s="425"/>
      <c r="BK17" s="425"/>
      <c r="BL17" s="425"/>
      <c r="BM17" s="425"/>
      <c r="BN17" s="425"/>
    </row>
    <row r="18" ht="15.0" customHeight="1">
      <c r="A18" s="423" t="s">
        <v>30</v>
      </c>
      <c r="S18" s="431">
        <f>'Евгений Ж.'!FJ4</f>
        <v>7500</v>
      </c>
      <c r="V18" s="35"/>
      <c r="W18" s="432" t="str">
        <f>'Евгений Ж.'!FM4</f>
        <v/>
      </c>
      <c r="AA18" s="439">
        <f t="shared" si="7"/>
        <v>1875</v>
      </c>
      <c r="AE18" s="35"/>
      <c r="AF18" s="439">
        <f t="shared" si="8"/>
        <v>7500</v>
      </c>
      <c r="AJ18" s="35"/>
      <c r="AK18" s="424"/>
      <c r="AL18" s="425"/>
      <c r="AM18" s="425"/>
      <c r="AN18" s="425"/>
      <c r="AO18" s="429"/>
      <c r="AP18" s="424"/>
      <c r="AQ18" s="425"/>
      <c r="AR18" s="425"/>
      <c r="AS18" s="425"/>
      <c r="AT18" s="429"/>
      <c r="AU18" s="425"/>
      <c r="AV18" s="425"/>
      <c r="AW18" s="425"/>
      <c r="AX18" s="425"/>
      <c r="AY18" s="425"/>
      <c r="AZ18" s="424"/>
      <c r="BA18" s="425"/>
      <c r="BB18" s="425"/>
      <c r="BC18" s="425"/>
      <c r="BD18" s="425"/>
      <c r="BE18" s="425"/>
      <c r="BF18" s="425"/>
      <c r="BG18" s="425"/>
      <c r="BH18" s="425"/>
      <c r="BI18" s="425"/>
      <c r="BJ18" s="425"/>
      <c r="BK18" s="425"/>
      <c r="BL18" s="425"/>
      <c r="BM18" s="425"/>
      <c r="BN18" s="425"/>
    </row>
    <row r="19" ht="15.0" customHeight="1">
      <c r="A19" s="423" t="s">
        <v>34</v>
      </c>
      <c r="S19" s="427">
        <f>'Евгений Ж.'!FJ5</f>
        <v>60</v>
      </c>
      <c r="V19" s="35"/>
      <c r="W19" s="428" t="str">
        <f>'Евгений Ж.'!FM5</f>
        <v/>
      </c>
      <c r="AA19" s="440">
        <f t="shared" si="7"/>
        <v>15</v>
      </c>
      <c r="AE19" s="35"/>
      <c r="AF19" s="440">
        <f t="shared" si="8"/>
        <v>60</v>
      </c>
      <c r="AJ19" s="35"/>
      <c r="AK19" s="424">
        <v>85.0</v>
      </c>
      <c r="AO19" s="35"/>
      <c r="AP19" s="424"/>
      <c r="AQ19" s="425"/>
      <c r="AR19" s="425"/>
      <c r="AS19" s="425"/>
      <c r="AT19" s="429"/>
      <c r="AU19" s="428">
        <f>AA19*100/AK19</f>
        <v>17.64705882</v>
      </c>
      <c r="AZ19" s="424"/>
      <c r="BA19" s="425"/>
      <c r="BB19" s="425"/>
      <c r="BC19" s="425"/>
      <c r="BD19" s="425"/>
      <c r="BE19" s="425"/>
      <c r="BF19" s="425"/>
      <c r="BG19" s="425"/>
      <c r="BH19" s="425"/>
      <c r="BI19" s="425"/>
      <c r="BJ19" s="425"/>
      <c r="BK19" s="425"/>
      <c r="BL19" s="425"/>
      <c r="BM19" s="425"/>
      <c r="BN19" s="425"/>
    </row>
    <row r="20" ht="15.0" customHeight="1">
      <c r="A20" s="423" t="s">
        <v>189</v>
      </c>
      <c r="S20" s="431">
        <f>'Евгений Ж.'!FJ9</f>
        <v>7500</v>
      </c>
      <c r="V20" s="35"/>
      <c r="W20" s="432" t="str">
        <f>'Евгений Ж.'!FM8</f>
        <v/>
      </c>
      <c r="AA20" s="439">
        <f t="shared" si="7"/>
        <v>1875</v>
      </c>
      <c r="AE20" s="35"/>
      <c r="AF20" s="439">
        <f t="shared" si="8"/>
        <v>7500</v>
      </c>
      <c r="AJ20" s="35"/>
      <c r="AK20" s="424"/>
      <c r="AL20" s="425"/>
      <c r="AM20" s="425"/>
      <c r="AN20" s="425"/>
      <c r="AO20" s="429"/>
      <c r="AP20" s="424"/>
      <c r="AQ20" s="425"/>
      <c r="AR20" s="425"/>
      <c r="AS20" s="425"/>
      <c r="AT20" s="429"/>
      <c r="AU20" s="425"/>
      <c r="AV20" s="425"/>
      <c r="AW20" s="425"/>
      <c r="AX20" s="425"/>
      <c r="AY20" s="425"/>
      <c r="AZ20" s="424"/>
      <c r="BA20" s="425"/>
      <c r="BB20" s="425"/>
      <c r="BC20" s="425"/>
      <c r="BD20" s="425"/>
      <c r="BE20" s="425"/>
      <c r="BF20" s="425"/>
      <c r="BG20" s="425"/>
      <c r="BH20" s="425"/>
      <c r="BI20" s="425"/>
      <c r="BJ20" s="425"/>
      <c r="BK20" s="425"/>
      <c r="BL20" s="425"/>
      <c r="BM20" s="425"/>
      <c r="BN20" s="425"/>
    </row>
    <row r="21" ht="15.0" customHeight="1">
      <c r="A21" s="423" t="s">
        <v>190</v>
      </c>
      <c r="S21" s="431">
        <f>'Евгений Ж.'!FJ10</f>
        <v>7500</v>
      </c>
      <c r="V21" s="35"/>
      <c r="W21" s="432" t="str">
        <f>'Евгений Ж.'!FM9</f>
        <v/>
      </c>
      <c r="AA21" s="439">
        <f t="shared" si="7"/>
        <v>1875</v>
      </c>
      <c r="AE21" s="35"/>
      <c r="AF21" s="439">
        <f t="shared" si="8"/>
        <v>7500</v>
      </c>
      <c r="AJ21" s="35"/>
      <c r="AK21" s="424"/>
      <c r="AL21" s="425"/>
      <c r="AM21" s="425"/>
      <c r="AN21" s="425"/>
      <c r="AO21" s="429"/>
      <c r="AP21" s="424"/>
      <c r="AQ21" s="425"/>
      <c r="AR21" s="425"/>
      <c r="AS21" s="425"/>
      <c r="AT21" s="429"/>
      <c r="AU21" s="425"/>
      <c r="AV21" s="425"/>
      <c r="AW21" s="425"/>
      <c r="AX21" s="425"/>
      <c r="AY21" s="425"/>
      <c r="AZ21" s="424"/>
      <c r="BA21" s="425"/>
      <c r="BB21" s="425"/>
      <c r="BC21" s="425"/>
      <c r="BD21" s="425"/>
      <c r="BE21" s="425"/>
      <c r="BF21" s="425"/>
      <c r="BG21" s="425"/>
      <c r="BH21" s="425"/>
      <c r="BI21" s="425"/>
      <c r="BJ21" s="425"/>
      <c r="BK21" s="425"/>
      <c r="BL21" s="425"/>
      <c r="BM21" s="425"/>
      <c r="BN21" s="425"/>
    </row>
    <row r="22" ht="15.0" customHeight="1">
      <c r="A22" s="441" t="s">
        <v>191</v>
      </c>
      <c r="S22" s="437" t="str">
        <f>'Евгений Ж.'!EO2</f>
        <v>Факт</v>
      </c>
      <c r="W22" s="442"/>
      <c r="AA22" s="436" t="s">
        <v>173</v>
      </c>
      <c r="AF22" s="437" t="s">
        <v>174</v>
      </c>
      <c r="AK22" s="438"/>
      <c r="AP22" s="438"/>
      <c r="AU22" s="438"/>
      <c r="AZ22" s="438"/>
      <c r="BE22" s="438"/>
      <c r="BJ22" s="438"/>
    </row>
    <row r="23" ht="15.0" customHeight="1">
      <c r="A23" s="430" t="s">
        <v>192</v>
      </c>
      <c r="S23" s="426">
        <f>'Евгений Ж.'!EO3</f>
        <v>33.89830508</v>
      </c>
      <c r="V23" s="35"/>
      <c r="W23" s="443"/>
      <c r="X23" s="443"/>
      <c r="Y23" s="443"/>
      <c r="Z23" s="443"/>
      <c r="AA23" s="427">
        <f t="shared" ref="AA23:AA31" si="9">sum(S23:W23)/4</f>
        <v>8.474576271</v>
      </c>
      <c r="AE23" s="35"/>
      <c r="AF23" s="427"/>
      <c r="AG23" s="428"/>
      <c r="AH23" s="428"/>
      <c r="AI23" s="428"/>
      <c r="AJ23" s="444"/>
      <c r="AK23" s="445">
        <v>39.0</v>
      </c>
      <c r="AO23" s="35"/>
      <c r="AP23" s="424"/>
      <c r="AQ23" s="425"/>
      <c r="AR23" s="425"/>
      <c r="AS23" s="425"/>
      <c r="AT23" s="429"/>
      <c r="AU23" s="428">
        <f t="shared" ref="AU23:AU31" si="10">AA23*100/AK23</f>
        <v>21.72968275</v>
      </c>
      <c r="AZ23" s="424"/>
      <c r="BA23" s="425"/>
      <c r="BB23" s="425"/>
      <c r="BC23" s="425"/>
      <c r="BD23" s="425"/>
      <c r="BE23" s="425"/>
      <c r="BF23" s="425"/>
      <c r="BG23" s="425"/>
      <c r="BH23" s="425"/>
      <c r="BI23" s="425"/>
      <c r="BJ23" s="425"/>
      <c r="BK23" s="425"/>
      <c r="BL23" s="425"/>
      <c r="BM23" s="425"/>
      <c r="BN23" s="425"/>
    </row>
    <row r="24" ht="15.0" customHeight="1">
      <c r="A24" s="430" t="s">
        <v>193</v>
      </c>
      <c r="S24" s="426">
        <f>'Евгений Ж.'!EO4</f>
        <v>15.25423729</v>
      </c>
      <c r="V24" s="35"/>
      <c r="W24" s="443"/>
      <c r="X24" s="443"/>
      <c r="Y24" s="443"/>
      <c r="Z24" s="443"/>
      <c r="AA24" s="427">
        <f t="shared" si="9"/>
        <v>3.813559322</v>
      </c>
      <c r="AE24" s="35"/>
      <c r="AF24" s="427"/>
      <c r="AG24" s="428"/>
      <c r="AH24" s="428"/>
      <c r="AI24" s="428"/>
      <c r="AJ24" s="444"/>
      <c r="AK24" s="424">
        <v>31.0</v>
      </c>
      <c r="AO24" s="35"/>
      <c r="AP24" s="424"/>
      <c r="AQ24" s="425"/>
      <c r="AR24" s="425"/>
      <c r="AS24" s="425"/>
      <c r="AT24" s="429"/>
      <c r="AU24" s="428">
        <f t="shared" si="10"/>
        <v>12.30180426</v>
      </c>
      <c r="AZ24" s="424"/>
      <c r="BA24" s="425"/>
      <c r="BB24" s="425"/>
      <c r="BC24" s="425"/>
      <c r="BD24" s="425"/>
      <c r="BE24" s="425"/>
      <c r="BF24" s="425"/>
      <c r="BG24" s="425"/>
      <c r="BH24" s="425"/>
      <c r="BI24" s="425"/>
      <c r="BJ24" s="425"/>
      <c r="BK24" s="425"/>
      <c r="BL24" s="425"/>
      <c r="BM24" s="425"/>
      <c r="BN24" s="425"/>
    </row>
    <row r="25" ht="15.0" customHeight="1">
      <c r="A25" s="423" t="s">
        <v>33</v>
      </c>
      <c r="S25" s="426">
        <f>'Евгений Ж.'!EO5</f>
        <v>0</v>
      </c>
      <c r="V25" s="35"/>
      <c r="W25" s="443"/>
      <c r="X25" s="443"/>
      <c r="Y25" s="443"/>
      <c r="Z25" s="443"/>
      <c r="AA25" s="427">
        <f t="shared" si="9"/>
        <v>0</v>
      </c>
      <c r="AE25" s="35"/>
      <c r="AF25" s="427"/>
      <c r="AG25" s="428"/>
      <c r="AH25" s="428"/>
      <c r="AI25" s="428"/>
      <c r="AJ25" s="444"/>
      <c r="AK25" s="424">
        <v>16.0</v>
      </c>
      <c r="AO25" s="35"/>
      <c r="AP25" s="424"/>
      <c r="AQ25" s="425"/>
      <c r="AR25" s="425"/>
      <c r="AS25" s="425"/>
      <c r="AT25" s="429"/>
      <c r="AU25" s="428">
        <f t="shared" si="10"/>
        <v>0</v>
      </c>
      <c r="AZ25" s="424"/>
      <c r="BA25" s="425"/>
      <c r="BB25" s="425"/>
      <c r="BC25" s="425"/>
      <c r="BD25" s="425"/>
      <c r="BE25" s="425"/>
      <c r="BF25" s="425"/>
      <c r="BG25" s="425"/>
      <c r="BH25" s="425"/>
      <c r="BI25" s="425"/>
      <c r="BJ25" s="425"/>
      <c r="BK25" s="425"/>
      <c r="BL25" s="425"/>
      <c r="BM25" s="425"/>
      <c r="BN25" s="425"/>
    </row>
    <row r="26" ht="15.0" customHeight="1">
      <c r="A26" s="446" t="s">
        <v>194</v>
      </c>
      <c r="S26" s="426">
        <f>'Евгений Ж.'!EO6</f>
        <v>10.15228426</v>
      </c>
      <c r="V26" s="35"/>
      <c r="W26" s="443"/>
      <c r="X26" s="443"/>
      <c r="Y26" s="443"/>
      <c r="Z26" s="443"/>
      <c r="AA26" s="427">
        <f t="shared" si="9"/>
        <v>2.538071066</v>
      </c>
      <c r="AE26" s="35"/>
      <c r="AF26" s="427"/>
      <c r="AG26" s="428"/>
      <c r="AH26" s="428"/>
      <c r="AI26" s="428"/>
      <c r="AJ26" s="444"/>
      <c r="AK26" s="424">
        <v>35.0</v>
      </c>
      <c r="AO26" s="35"/>
      <c r="AP26" s="424"/>
      <c r="AQ26" s="425"/>
      <c r="AR26" s="425"/>
      <c r="AS26" s="425"/>
      <c r="AT26" s="429"/>
      <c r="AU26" s="428">
        <f t="shared" si="10"/>
        <v>7.251631617</v>
      </c>
      <c r="AZ26" s="424"/>
      <c r="BA26" s="425"/>
      <c r="BB26" s="425"/>
      <c r="BC26" s="425"/>
      <c r="BD26" s="425"/>
      <c r="BE26" s="425"/>
      <c r="BF26" s="425"/>
      <c r="BG26" s="425"/>
      <c r="BH26" s="425"/>
      <c r="BI26" s="425"/>
      <c r="BJ26" s="425"/>
      <c r="BK26" s="425"/>
      <c r="BL26" s="425"/>
      <c r="BM26" s="425"/>
      <c r="BN26" s="425"/>
    </row>
    <row r="27" ht="15.0" customHeight="1">
      <c r="A27" s="430" t="s">
        <v>195</v>
      </c>
      <c r="S27" s="426">
        <f>'Евгений Ж.'!EO7</f>
        <v>4.568527919</v>
      </c>
      <c r="V27" s="35"/>
      <c r="W27" s="443"/>
      <c r="X27" s="443"/>
      <c r="Y27" s="443"/>
      <c r="Z27" s="443"/>
      <c r="AA27" s="427">
        <f t="shared" si="9"/>
        <v>1.14213198</v>
      </c>
      <c r="AE27" s="35"/>
      <c r="AF27" s="427"/>
      <c r="AG27" s="428"/>
      <c r="AH27" s="428"/>
      <c r="AI27" s="428"/>
      <c r="AJ27" s="444"/>
      <c r="AK27" s="424">
        <v>30.0</v>
      </c>
      <c r="AO27" s="35"/>
      <c r="AP27" s="424"/>
      <c r="AQ27" s="425"/>
      <c r="AR27" s="425"/>
      <c r="AS27" s="425"/>
      <c r="AT27" s="429"/>
      <c r="AU27" s="428">
        <f t="shared" si="10"/>
        <v>3.807106599</v>
      </c>
      <c r="AZ27" s="424"/>
      <c r="BA27" s="425"/>
      <c r="BB27" s="425"/>
      <c r="BC27" s="425"/>
      <c r="BD27" s="425"/>
      <c r="BE27" s="425"/>
      <c r="BF27" s="425"/>
      <c r="BG27" s="425"/>
      <c r="BH27" s="425"/>
      <c r="BI27" s="425"/>
      <c r="BJ27" s="425"/>
      <c r="BK27" s="425"/>
      <c r="BL27" s="425"/>
      <c r="BM27" s="425"/>
      <c r="BN27" s="425"/>
    </row>
    <row r="28" ht="15.0" customHeight="1">
      <c r="A28" s="423" t="s">
        <v>49</v>
      </c>
      <c r="S28" s="426">
        <f>'Евгений Ж.'!EO8</f>
        <v>0</v>
      </c>
      <c r="V28" s="35"/>
      <c r="W28" s="443"/>
      <c r="X28" s="443"/>
      <c r="Y28" s="443"/>
      <c r="Z28" s="443"/>
      <c r="AA28" s="427">
        <f t="shared" si="9"/>
        <v>0</v>
      </c>
      <c r="AE28" s="35"/>
      <c r="AF28" s="427"/>
      <c r="AG28" s="428"/>
      <c r="AH28" s="428"/>
      <c r="AI28" s="428"/>
      <c r="AJ28" s="444"/>
      <c r="AK28" s="424">
        <v>14.0</v>
      </c>
      <c r="AO28" s="35"/>
      <c r="AP28" s="424"/>
      <c r="AQ28" s="425"/>
      <c r="AR28" s="425"/>
      <c r="AS28" s="425"/>
      <c r="AT28" s="429"/>
      <c r="AU28" s="428">
        <f t="shared" si="10"/>
        <v>0</v>
      </c>
      <c r="AZ28" s="424"/>
      <c r="BA28" s="425"/>
      <c r="BB28" s="425"/>
      <c r="BC28" s="425"/>
      <c r="BD28" s="425"/>
      <c r="BE28" s="425"/>
      <c r="BF28" s="425"/>
      <c r="BG28" s="425"/>
      <c r="BH28" s="425"/>
      <c r="BI28" s="425"/>
      <c r="BJ28" s="425"/>
      <c r="BK28" s="425"/>
      <c r="BL28" s="425"/>
      <c r="BM28" s="425"/>
      <c r="BN28" s="425"/>
    </row>
    <row r="29" ht="15.0" customHeight="1">
      <c r="A29" s="430" t="s">
        <v>196</v>
      </c>
      <c r="S29" s="426">
        <f>'Евгений Ж.'!EO9</f>
        <v>45</v>
      </c>
      <c r="V29" s="35"/>
      <c r="W29" s="443"/>
      <c r="X29" s="443"/>
      <c r="Y29" s="443"/>
      <c r="Z29" s="443"/>
      <c r="AA29" s="427">
        <f t="shared" si="9"/>
        <v>11.25</v>
      </c>
      <c r="AE29" s="35"/>
      <c r="AF29" s="427"/>
      <c r="AG29" s="428"/>
      <c r="AH29" s="428"/>
      <c r="AI29" s="428"/>
      <c r="AJ29" s="444"/>
      <c r="AK29" s="424">
        <v>100.0</v>
      </c>
      <c r="AO29" s="35"/>
      <c r="AP29" s="424"/>
      <c r="AQ29" s="425"/>
      <c r="AR29" s="425"/>
      <c r="AS29" s="425"/>
      <c r="AT29" s="429"/>
      <c r="AU29" s="428">
        <f t="shared" si="10"/>
        <v>11.25</v>
      </c>
      <c r="AZ29" s="424"/>
      <c r="BA29" s="425"/>
      <c r="BB29" s="425"/>
      <c r="BC29" s="425"/>
      <c r="BD29" s="425"/>
      <c r="BE29" s="425"/>
      <c r="BF29" s="425"/>
      <c r="BG29" s="425"/>
      <c r="BH29" s="425"/>
      <c r="BI29" s="425"/>
      <c r="BJ29" s="425"/>
      <c r="BK29" s="425"/>
      <c r="BL29" s="425"/>
      <c r="BM29" s="425"/>
      <c r="BN29" s="425"/>
    </row>
    <row r="30" ht="15.0" customHeight="1">
      <c r="A30" s="430" t="s">
        <v>58</v>
      </c>
      <c r="S30" s="426">
        <f>'Евгений Ж.'!EO10</f>
        <v>0</v>
      </c>
      <c r="V30" s="35"/>
      <c r="W30" s="443"/>
      <c r="X30" s="443"/>
      <c r="Y30" s="443"/>
      <c r="Z30" s="443"/>
      <c r="AA30" s="427">
        <f t="shared" si="9"/>
        <v>0</v>
      </c>
      <c r="AE30" s="35"/>
      <c r="AF30" s="427"/>
      <c r="AG30" s="428"/>
      <c r="AH30" s="428"/>
      <c r="AI30" s="428"/>
      <c r="AJ30" s="444"/>
      <c r="AK30" s="424">
        <v>40.0</v>
      </c>
      <c r="AO30" s="35"/>
      <c r="AP30" s="424"/>
      <c r="AQ30" s="425"/>
      <c r="AR30" s="425"/>
      <c r="AS30" s="425"/>
      <c r="AT30" s="429"/>
      <c r="AU30" s="428">
        <f t="shared" si="10"/>
        <v>0</v>
      </c>
      <c r="AZ30" s="424"/>
      <c r="BA30" s="425"/>
      <c r="BB30" s="425"/>
      <c r="BC30" s="425"/>
      <c r="BD30" s="425"/>
      <c r="BE30" s="425"/>
      <c r="BF30" s="425"/>
      <c r="BG30" s="425"/>
      <c r="BH30" s="425"/>
      <c r="BI30" s="425"/>
      <c r="BJ30" s="425"/>
      <c r="BK30" s="425"/>
      <c r="BL30" s="425"/>
      <c r="BM30" s="425"/>
      <c r="BN30" s="425"/>
    </row>
    <row r="31" ht="15.0" customHeight="1">
      <c r="A31" s="430" t="s">
        <v>197</v>
      </c>
      <c r="S31" s="426">
        <f>'Евгений Ж.'!EO11</f>
        <v>0</v>
      </c>
      <c r="V31" s="35"/>
      <c r="W31" s="443"/>
      <c r="X31" s="443"/>
      <c r="Y31" s="443"/>
      <c r="Z31" s="443"/>
      <c r="AA31" s="427">
        <f t="shared" si="9"/>
        <v>0</v>
      </c>
      <c r="AE31" s="35"/>
      <c r="AF31" s="427"/>
      <c r="AG31" s="428"/>
      <c r="AH31" s="428"/>
      <c r="AI31" s="428"/>
      <c r="AJ31" s="444"/>
      <c r="AK31" s="424">
        <v>38.0</v>
      </c>
      <c r="AO31" s="35"/>
      <c r="AP31" s="424"/>
      <c r="AQ31" s="425"/>
      <c r="AR31" s="425"/>
      <c r="AS31" s="425"/>
      <c r="AT31" s="429"/>
      <c r="AU31" s="428">
        <f t="shared" si="10"/>
        <v>0</v>
      </c>
      <c r="AZ31" s="424"/>
      <c r="BA31" s="425"/>
      <c r="BB31" s="425"/>
      <c r="BC31" s="425"/>
      <c r="BD31" s="425"/>
      <c r="BE31" s="425"/>
      <c r="BF31" s="425"/>
      <c r="BG31" s="425"/>
      <c r="BH31" s="425"/>
      <c r="BI31" s="425"/>
      <c r="BJ31" s="425"/>
      <c r="BK31" s="425"/>
      <c r="BL31" s="425"/>
      <c r="BM31" s="425"/>
      <c r="BN31" s="425"/>
    </row>
    <row r="32" ht="15.0" customHeight="1">
      <c r="A32" s="441" t="str">
        <f>'Евгений Ж.'!ET2</f>
        <v>Мотивация менеджера</v>
      </c>
      <c r="S32" s="447"/>
      <c r="W32" s="447"/>
      <c r="AA32" s="437"/>
      <c r="AF32" s="448"/>
      <c r="AK32" s="438"/>
      <c r="AP32" s="447"/>
      <c r="AU32" s="437"/>
      <c r="AZ32" s="447"/>
      <c r="BE32" s="447"/>
      <c r="BJ32" s="447"/>
    </row>
    <row r="33" ht="15.0" customHeight="1">
      <c r="A33" s="449" t="str">
        <f>'Евгений Ж.'!ET3</f>
        <v>Сумма штрафов</v>
      </c>
      <c r="S33" s="450"/>
      <c r="V33" s="35"/>
      <c r="W33" s="451"/>
      <c r="X33" s="451"/>
      <c r="Y33" s="451"/>
      <c r="Z33" s="451"/>
      <c r="AA33" s="443"/>
      <c r="AB33" s="443"/>
      <c r="AC33" s="443"/>
      <c r="AD33" s="443"/>
      <c r="AE33" s="443"/>
      <c r="AF33" s="452"/>
      <c r="AG33" s="452"/>
      <c r="AH33" s="452"/>
      <c r="AI33" s="452"/>
      <c r="AJ33" s="452"/>
      <c r="AK33" s="443"/>
      <c r="AL33" s="443"/>
      <c r="AM33" s="443"/>
      <c r="AN33" s="443"/>
      <c r="AO33" s="443"/>
      <c r="AP33" s="53"/>
      <c r="AQ33" s="53"/>
      <c r="AR33" s="53"/>
      <c r="AS33" s="53"/>
      <c r="AT33" s="53"/>
      <c r="AU33" s="443"/>
      <c r="AV33" s="443"/>
      <c r="AW33" s="443"/>
      <c r="AX33" s="443"/>
      <c r="AY33" s="44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</row>
    <row r="34" ht="15.75" customHeight="1">
      <c r="A34" s="449" t="str">
        <f>'Евгений Ж.'!ET4</f>
        <v>Бонус за выполнение KPI</v>
      </c>
      <c r="S34" s="450"/>
      <c r="V34" s="35"/>
      <c r="W34" s="451"/>
      <c r="X34" s="451"/>
      <c r="Y34" s="451"/>
      <c r="Z34" s="451"/>
      <c r="AA34" s="443"/>
      <c r="AB34" s="443"/>
      <c r="AC34" s="443"/>
      <c r="AD34" s="443"/>
      <c r="AE34" s="443"/>
      <c r="AF34" s="452"/>
      <c r="AG34" s="452"/>
      <c r="AH34" s="452"/>
      <c r="AI34" s="452"/>
      <c r="AJ34" s="452"/>
      <c r="AK34" s="443"/>
      <c r="AL34" s="443"/>
      <c r="AM34" s="443"/>
      <c r="AN34" s="443"/>
      <c r="AO34" s="443"/>
      <c r="AP34" s="53"/>
      <c r="AQ34" s="53"/>
      <c r="AR34" s="53"/>
      <c r="AS34" s="53"/>
      <c r="AT34" s="53"/>
      <c r="AU34" s="443"/>
      <c r="AV34" s="443"/>
      <c r="AW34" s="443"/>
      <c r="AX34" s="443"/>
      <c r="AY34" s="44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</row>
    <row r="35" ht="15.75" customHeight="1">
      <c r="A35" s="449" t="str">
        <f>'Евгений Ж.'!ET5</f>
        <v>Общий % выполнения KPI</v>
      </c>
      <c r="S35" s="450"/>
      <c r="V35" s="35"/>
      <c r="W35" s="451"/>
      <c r="X35" s="451"/>
      <c r="Y35" s="451"/>
      <c r="Z35" s="451"/>
      <c r="AA35" s="443"/>
      <c r="AB35" s="443"/>
      <c r="AC35" s="443"/>
      <c r="AD35" s="443"/>
      <c r="AE35" s="443"/>
      <c r="AF35" s="452"/>
      <c r="AG35" s="452"/>
      <c r="AH35" s="452"/>
      <c r="AI35" s="452"/>
      <c r="AJ35" s="452"/>
      <c r="AK35" s="443"/>
      <c r="AL35" s="443"/>
      <c r="AM35" s="443"/>
      <c r="AN35" s="443"/>
      <c r="AO35" s="443"/>
      <c r="AP35" s="53"/>
      <c r="AQ35" s="53"/>
      <c r="AR35" s="53"/>
      <c r="AS35" s="53"/>
      <c r="AT35" s="53"/>
      <c r="AU35" s="443"/>
      <c r="AV35" s="443"/>
      <c r="AW35" s="443"/>
      <c r="AX35" s="443"/>
      <c r="AY35" s="44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</row>
    <row r="36" ht="15.75" customHeight="1">
      <c r="A36" s="449" t="str">
        <f>'Евгений Ж.'!ET7</f>
        <v>Премия за сопровождение проектов за второй месяц</v>
      </c>
      <c r="S36" s="450"/>
      <c r="V36" s="35"/>
      <c r="W36" s="451"/>
      <c r="X36" s="451"/>
      <c r="Y36" s="451"/>
      <c r="Z36" s="451"/>
      <c r="AA36" s="443"/>
      <c r="AB36" s="443"/>
      <c r="AC36" s="443"/>
      <c r="AD36" s="443"/>
      <c r="AE36" s="443"/>
      <c r="AF36" s="452"/>
      <c r="AG36" s="452"/>
      <c r="AH36" s="452"/>
      <c r="AI36" s="452"/>
      <c r="AJ36" s="452"/>
      <c r="AK36" s="443"/>
      <c r="AL36" s="443"/>
      <c r="AM36" s="443"/>
      <c r="AN36" s="443"/>
      <c r="AO36" s="443"/>
      <c r="AP36" s="53"/>
      <c r="AQ36" s="53"/>
      <c r="AR36" s="53"/>
      <c r="AS36" s="53"/>
      <c r="AT36" s="53"/>
      <c r="AU36" s="443"/>
      <c r="AV36" s="443"/>
      <c r="AW36" s="443"/>
      <c r="AX36" s="443"/>
      <c r="AY36" s="44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</row>
    <row r="37" ht="15.75" customHeight="1">
      <c r="A37" s="449" t="str">
        <f>'Евгений Ж.'!ET8</f>
        <v>Премия за сопровождение проектов за третий месяц</v>
      </c>
      <c r="S37" s="450"/>
      <c r="V37" s="35"/>
      <c r="W37" s="451"/>
      <c r="X37" s="451"/>
      <c r="Y37" s="451"/>
      <c r="Z37" s="451"/>
      <c r="AA37" s="443"/>
      <c r="AB37" s="443"/>
      <c r="AC37" s="443"/>
      <c r="AD37" s="443"/>
      <c r="AE37" s="443"/>
      <c r="AF37" s="452"/>
      <c r="AG37" s="452"/>
      <c r="AH37" s="452"/>
      <c r="AI37" s="452"/>
      <c r="AJ37" s="452"/>
      <c r="AK37" s="443"/>
      <c r="AL37" s="443"/>
      <c r="AM37" s="443"/>
      <c r="AN37" s="443"/>
      <c r="AO37" s="443"/>
      <c r="AP37" s="53"/>
      <c r="AQ37" s="53"/>
      <c r="AR37" s="53"/>
      <c r="AS37" s="53"/>
      <c r="AT37" s="53"/>
      <c r="AU37" s="443"/>
      <c r="AV37" s="443"/>
      <c r="AW37" s="443"/>
      <c r="AX37" s="443"/>
      <c r="AY37" s="44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</row>
    <row r="38" ht="15.75" customHeight="1">
      <c r="A38" s="449" t="str">
        <f>'Евгений Ж.'!ET9</f>
        <v>Зарплата менеджера без учета командного плана</v>
      </c>
      <c r="S38" s="450"/>
      <c r="V38" s="35"/>
      <c r="W38" s="451"/>
      <c r="X38" s="451"/>
      <c r="Y38" s="451"/>
      <c r="Z38" s="451"/>
      <c r="AA38" s="443"/>
      <c r="AB38" s="443"/>
      <c r="AC38" s="443"/>
      <c r="AD38" s="443"/>
      <c r="AE38" s="443"/>
      <c r="AF38" s="452"/>
      <c r="AG38" s="452"/>
      <c r="AH38" s="452"/>
      <c r="AI38" s="452"/>
      <c r="AJ38" s="452"/>
      <c r="AK38" s="443"/>
      <c r="AL38" s="443"/>
      <c r="AM38" s="443"/>
      <c r="AN38" s="443"/>
      <c r="AO38" s="443"/>
      <c r="AP38" s="53"/>
      <c r="AQ38" s="53"/>
      <c r="AR38" s="53"/>
      <c r="AS38" s="53"/>
      <c r="AT38" s="53"/>
      <c r="AU38" s="443"/>
      <c r="AV38" s="443"/>
      <c r="AW38" s="443"/>
      <c r="AX38" s="443"/>
      <c r="AY38" s="44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</row>
    <row r="39" ht="15.75" customHeight="1">
      <c r="A39" s="449" t="str">
        <f>'Евгений Ж.'!ET10</f>
        <v>Зарплата менеджера с учетом командного плана</v>
      </c>
      <c r="S39" s="450"/>
      <c r="V39" s="35"/>
      <c r="W39" s="451"/>
      <c r="X39" s="451"/>
      <c r="Y39" s="451"/>
      <c r="Z39" s="451"/>
      <c r="AA39" s="443"/>
      <c r="AB39" s="443"/>
      <c r="AC39" s="443"/>
      <c r="AD39" s="443"/>
      <c r="AE39" s="443"/>
      <c r="AF39" s="452"/>
      <c r="AG39" s="452"/>
      <c r="AH39" s="452"/>
      <c r="AI39" s="452"/>
      <c r="AJ39" s="452"/>
      <c r="AK39" s="443"/>
      <c r="AL39" s="443"/>
      <c r="AM39" s="443"/>
      <c r="AN39" s="443"/>
      <c r="AO39" s="443"/>
      <c r="AP39" s="53"/>
      <c r="AQ39" s="53"/>
      <c r="AR39" s="53"/>
      <c r="AS39" s="53"/>
      <c r="AT39" s="53"/>
      <c r="AU39" s="443"/>
      <c r="AV39" s="443"/>
      <c r="AW39" s="443"/>
      <c r="AX39" s="443"/>
      <c r="AY39" s="44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</row>
    <row r="40" ht="15.75" customHeight="1">
      <c r="A40" s="449" t="str">
        <f>'Евгений Ж.'!ET11</f>
        <v/>
      </c>
      <c r="S40" s="450"/>
      <c r="V40" s="35"/>
      <c r="W40" s="451"/>
      <c r="X40" s="451"/>
      <c r="Y40" s="451"/>
      <c r="Z40" s="451"/>
      <c r="AA40" s="443"/>
      <c r="AB40" s="443"/>
      <c r="AC40" s="443"/>
      <c r="AD40" s="443"/>
      <c r="AE40" s="443"/>
      <c r="AF40" s="452"/>
      <c r="AG40" s="452"/>
      <c r="AH40" s="452"/>
      <c r="AI40" s="452"/>
      <c r="AJ40" s="452"/>
      <c r="AK40" s="443"/>
      <c r="AL40" s="443"/>
      <c r="AM40" s="443"/>
      <c r="AN40" s="443"/>
      <c r="AO40" s="443"/>
      <c r="AP40" s="53"/>
      <c r="AQ40" s="53"/>
      <c r="AR40" s="53"/>
      <c r="AS40" s="53"/>
      <c r="AT40" s="53"/>
      <c r="AU40" s="443"/>
      <c r="AV40" s="443"/>
      <c r="AW40" s="443"/>
      <c r="AX40" s="443"/>
      <c r="AY40" s="44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</row>
  </sheetData>
  <mergeCells count="246">
    <mergeCell ref="AU6:AY6"/>
    <mergeCell ref="AZ6:BD6"/>
    <mergeCell ref="A6:R6"/>
    <mergeCell ref="S6:V6"/>
    <mergeCell ref="W6:Z6"/>
    <mergeCell ref="AA6:AE6"/>
    <mergeCell ref="AF6:AJ6"/>
    <mergeCell ref="AK6:AO6"/>
    <mergeCell ref="AP6:AT6"/>
    <mergeCell ref="AU7:AY7"/>
    <mergeCell ref="AZ7:BD7"/>
    <mergeCell ref="A7:R7"/>
    <mergeCell ref="S7:V7"/>
    <mergeCell ref="W7:Z7"/>
    <mergeCell ref="AA7:AE7"/>
    <mergeCell ref="AF7:AJ7"/>
    <mergeCell ref="AK7:AO7"/>
    <mergeCell ref="AP7:AT7"/>
    <mergeCell ref="AU8:AY8"/>
    <mergeCell ref="AZ8:BD8"/>
    <mergeCell ref="A8:R8"/>
    <mergeCell ref="S8:V8"/>
    <mergeCell ref="W8:Z8"/>
    <mergeCell ref="AA8:AE8"/>
    <mergeCell ref="AF8:AJ8"/>
    <mergeCell ref="AK8:AO8"/>
    <mergeCell ref="AP8:AT8"/>
    <mergeCell ref="AU15:AY15"/>
    <mergeCell ref="AZ15:BD15"/>
    <mergeCell ref="A14:R14"/>
    <mergeCell ref="A15:R15"/>
    <mergeCell ref="S15:V15"/>
    <mergeCell ref="W15:Z15"/>
    <mergeCell ref="AA15:AE15"/>
    <mergeCell ref="AF15:AJ15"/>
    <mergeCell ref="AK15:AO15"/>
    <mergeCell ref="AU16:AY16"/>
    <mergeCell ref="AZ16:BD16"/>
    <mergeCell ref="BE16:BI16"/>
    <mergeCell ref="BJ16:BN16"/>
    <mergeCell ref="A16:R16"/>
    <mergeCell ref="S16:V16"/>
    <mergeCell ref="W16:Z16"/>
    <mergeCell ref="AA16:AE16"/>
    <mergeCell ref="AF16:AJ16"/>
    <mergeCell ref="AK16:AO16"/>
    <mergeCell ref="AP16:AT16"/>
    <mergeCell ref="W18:Z18"/>
    <mergeCell ref="AA18:AE18"/>
    <mergeCell ref="AA19:AE19"/>
    <mergeCell ref="AF19:AJ19"/>
    <mergeCell ref="AK19:AO19"/>
    <mergeCell ref="AU19:AY19"/>
    <mergeCell ref="A17:R17"/>
    <mergeCell ref="S17:V17"/>
    <mergeCell ref="W17:Z17"/>
    <mergeCell ref="AA17:AE17"/>
    <mergeCell ref="AF17:AJ17"/>
    <mergeCell ref="S18:V18"/>
    <mergeCell ref="AF18:AJ18"/>
    <mergeCell ref="AA20:AE20"/>
    <mergeCell ref="AF20:AJ20"/>
    <mergeCell ref="A18:R18"/>
    <mergeCell ref="A19:R19"/>
    <mergeCell ref="S19:V19"/>
    <mergeCell ref="W19:Z19"/>
    <mergeCell ref="A20:R20"/>
    <mergeCell ref="S20:V20"/>
    <mergeCell ref="W20:Z20"/>
    <mergeCell ref="W22:Z22"/>
    <mergeCell ref="AA22:AE22"/>
    <mergeCell ref="AF22:AJ22"/>
    <mergeCell ref="AK22:AO22"/>
    <mergeCell ref="AP22:AT22"/>
    <mergeCell ref="AU22:AY22"/>
    <mergeCell ref="AZ22:BD22"/>
    <mergeCell ref="BE22:BI22"/>
    <mergeCell ref="BJ22:BN22"/>
    <mergeCell ref="A21:R21"/>
    <mergeCell ref="S21:V21"/>
    <mergeCell ref="W21:Z21"/>
    <mergeCell ref="AA21:AE21"/>
    <mergeCell ref="AF21:AJ21"/>
    <mergeCell ref="A22:R22"/>
    <mergeCell ref="S22:V22"/>
    <mergeCell ref="AK23:AO23"/>
    <mergeCell ref="AK24:AO24"/>
    <mergeCell ref="AK25:AO25"/>
    <mergeCell ref="AU25:AY25"/>
    <mergeCell ref="AK26:AO26"/>
    <mergeCell ref="AU26:AY26"/>
    <mergeCell ref="A23:R23"/>
    <mergeCell ref="S23:V23"/>
    <mergeCell ref="AA23:AE23"/>
    <mergeCell ref="AU23:AY23"/>
    <mergeCell ref="S24:V24"/>
    <mergeCell ref="AA24:AE24"/>
    <mergeCell ref="AU24:AY24"/>
    <mergeCell ref="A24:R24"/>
    <mergeCell ref="A25:R25"/>
    <mergeCell ref="S25:V25"/>
    <mergeCell ref="AA25:AE25"/>
    <mergeCell ref="A26:R26"/>
    <mergeCell ref="S26:V26"/>
    <mergeCell ref="AA26:AE26"/>
    <mergeCell ref="AU29:AY29"/>
    <mergeCell ref="AU30:AY30"/>
    <mergeCell ref="A33:R33"/>
    <mergeCell ref="S33:V33"/>
    <mergeCell ref="A34:R34"/>
    <mergeCell ref="S34:V34"/>
    <mergeCell ref="A35:R35"/>
    <mergeCell ref="S35:V35"/>
    <mergeCell ref="S36:V36"/>
    <mergeCell ref="A36:R36"/>
    <mergeCell ref="A37:R37"/>
    <mergeCell ref="S37:V37"/>
    <mergeCell ref="A38:R38"/>
    <mergeCell ref="S38:V38"/>
    <mergeCell ref="A39:R39"/>
    <mergeCell ref="S39:V39"/>
    <mergeCell ref="AA29:AE29"/>
    <mergeCell ref="AA30:AE30"/>
    <mergeCell ref="AA31:AE31"/>
    <mergeCell ref="A28:R28"/>
    <mergeCell ref="A29:R29"/>
    <mergeCell ref="S29:V29"/>
    <mergeCell ref="AK29:AO29"/>
    <mergeCell ref="A30:R30"/>
    <mergeCell ref="S30:V30"/>
    <mergeCell ref="AK30:AO30"/>
    <mergeCell ref="AA32:AE32"/>
    <mergeCell ref="AF32:AJ32"/>
    <mergeCell ref="AK32:AO32"/>
    <mergeCell ref="AP32:AT32"/>
    <mergeCell ref="AU32:AY32"/>
    <mergeCell ref="AZ32:BD32"/>
    <mergeCell ref="BE32:BI32"/>
    <mergeCell ref="BJ32:BN32"/>
    <mergeCell ref="A31:R31"/>
    <mergeCell ref="S31:V31"/>
    <mergeCell ref="AK31:AO31"/>
    <mergeCell ref="AU31:AY31"/>
    <mergeCell ref="A32:R32"/>
    <mergeCell ref="S32:V32"/>
    <mergeCell ref="W32:Z32"/>
    <mergeCell ref="A40:R40"/>
    <mergeCell ref="S40:V40"/>
    <mergeCell ref="AU1:AY2"/>
    <mergeCell ref="AZ1:BD2"/>
    <mergeCell ref="BE1:BI2"/>
    <mergeCell ref="BJ1:BN2"/>
    <mergeCell ref="A1:R2"/>
    <mergeCell ref="S1:V2"/>
    <mergeCell ref="W1:Z2"/>
    <mergeCell ref="AA1:AE2"/>
    <mergeCell ref="AF1:AJ2"/>
    <mergeCell ref="AK1:AO2"/>
    <mergeCell ref="AP1:AT2"/>
    <mergeCell ref="AU3:AY3"/>
    <mergeCell ref="AZ3:BD3"/>
    <mergeCell ref="BE3:BI3"/>
    <mergeCell ref="BJ3:BN3"/>
    <mergeCell ref="A3:R3"/>
    <mergeCell ref="S3:V3"/>
    <mergeCell ref="W3:Z3"/>
    <mergeCell ref="AA3:AE3"/>
    <mergeCell ref="AF3:AJ3"/>
    <mergeCell ref="AK3:AO3"/>
    <mergeCell ref="AP3:AT3"/>
    <mergeCell ref="S4:V4"/>
    <mergeCell ref="W4:Z4"/>
    <mergeCell ref="AA4:AE4"/>
    <mergeCell ref="AF4:AJ4"/>
    <mergeCell ref="AP4:AT4"/>
    <mergeCell ref="AU4:AY4"/>
    <mergeCell ref="AZ4:BD4"/>
    <mergeCell ref="AP5:AT5"/>
    <mergeCell ref="AU5:AY5"/>
    <mergeCell ref="AZ5:BD5"/>
    <mergeCell ref="A4:R4"/>
    <mergeCell ref="A5:R5"/>
    <mergeCell ref="S5:V5"/>
    <mergeCell ref="W5:Z5"/>
    <mergeCell ref="AA5:AE5"/>
    <mergeCell ref="AF5:AJ5"/>
    <mergeCell ref="AK5:AO5"/>
    <mergeCell ref="AU9:AY9"/>
    <mergeCell ref="AZ9:BD9"/>
    <mergeCell ref="A9:R9"/>
    <mergeCell ref="S9:V9"/>
    <mergeCell ref="W9:Z9"/>
    <mergeCell ref="AA9:AE9"/>
    <mergeCell ref="AF9:AJ9"/>
    <mergeCell ref="AK9:AO9"/>
    <mergeCell ref="AP9:AT9"/>
    <mergeCell ref="AU10:AY10"/>
    <mergeCell ref="AZ10:BD10"/>
    <mergeCell ref="A10:R10"/>
    <mergeCell ref="S10:V10"/>
    <mergeCell ref="W10:Z10"/>
    <mergeCell ref="AA10:AE10"/>
    <mergeCell ref="AF10:AJ10"/>
    <mergeCell ref="AK10:AO10"/>
    <mergeCell ref="AP10:AT10"/>
    <mergeCell ref="AU11:AY11"/>
    <mergeCell ref="AZ11:BD11"/>
    <mergeCell ref="A11:R11"/>
    <mergeCell ref="S11:V11"/>
    <mergeCell ref="W11:Z11"/>
    <mergeCell ref="AA11:AE11"/>
    <mergeCell ref="AF11:AJ11"/>
    <mergeCell ref="AK11:AO11"/>
    <mergeCell ref="AP11:AT11"/>
    <mergeCell ref="S12:V12"/>
    <mergeCell ref="W12:Z12"/>
    <mergeCell ref="AA12:AE12"/>
    <mergeCell ref="AF12:AJ12"/>
    <mergeCell ref="AK12:AO12"/>
    <mergeCell ref="AU12:AY12"/>
    <mergeCell ref="AZ12:BD12"/>
    <mergeCell ref="A12:R12"/>
    <mergeCell ref="A13:R13"/>
    <mergeCell ref="S13:V13"/>
    <mergeCell ref="W13:Z13"/>
    <mergeCell ref="AA13:AE13"/>
    <mergeCell ref="AF13:AJ13"/>
    <mergeCell ref="AK13:AO13"/>
    <mergeCell ref="AU13:AY13"/>
    <mergeCell ref="AU14:AY14"/>
    <mergeCell ref="AZ13:BD13"/>
    <mergeCell ref="S14:V14"/>
    <mergeCell ref="W14:Z14"/>
    <mergeCell ref="AA14:AE14"/>
    <mergeCell ref="AF14:AJ14"/>
    <mergeCell ref="AK14:AO14"/>
    <mergeCell ref="AZ14:BD14"/>
    <mergeCell ref="AK27:AO27"/>
    <mergeCell ref="AK28:AO28"/>
    <mergeCell ref="A27:R27"/>
    <mergeCell ref="S27:V27"/>
    <mergeCell ref="AA27:AE27"/>
    <mergeCell ref="AU27:AY27"/>
    <mergeCell ref="S28:V28"/>
    <mergeCell ref="AA28:AE28"/>
    <mergeCell ref="AU28:AY28"/>
  </mergeCells>
  <drawing r:id="rId1"/>
</worksheet>
</file>